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IinAGP\DIinAGP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12" i="2" l="1"/>
  <c r="C11" i="2"/>
  <c r="C10" i="2"/>
  <c r="C9" i="2"/>
  <c r="C8" i="2"/>
  <c r="C7" i="2"/>
  <c r="C6" i="2"/>
  <c r="C5" i="2"/>
  <c r="C4" i="2"/>
  <c r="C3" i="2"/>
  <c r="C13" i="2" l="1"/>
</calcChain>
</file>

<file path=xl/sharedStrings.xml><?xml version="1.0" encoding="utf-8"?>
<sst xmlns="http://schemas.openxmlformats.org/spreadsheetml/2006/main" count="205" uniqueCount="59">
  <si>
    <t>resource</t>
  </si>
  <si>
    <t>code/value</t>
  </si>
  <si>
    <t>message</t>
  </si>
  <si>
    <t>startLineNumber</t>
  </si>
  <si>
    <t>endLineNumber</t>
  </si>
  <si>
    <t>Complex Method</t>
  </si>
  <si>
    <t>Complex Method (cc = 10)</t>
  </si>
  <si>
    <t>Large Method</t>
  </si>
  <si>
    <t>Large Method (LoC = 80 lines)</t>
  </si>
  <si>
    <t>Excess Number of Function Arguments</t>
  </si>
  <si>
    <t>Excess Number of Function Arguments (Arguments = 5)</t>
  </si>
  <si>
    <t>Bumpy Road Ahead</t>
  </si>
  <si>
    <t>Bumpy Road Ahead (bumps = 2)</t>
  </si>
  <si>
    <t>Deep, Nested Complexity</t>
  </si>
  <si>
    <t>Deep, Nested Complexity (Nesting depth = 4 conditionals)</t>
  </si>
  <si>
    <t>Complex Method (cc = 14)</t>
  </si>
  <si>
    <t>Bumpy Road Ahead (bumps = 3)</t>
  </si>
  <si>
    <t>Complex Method (cc = 18)</t>
  </si>
  <si>
    <t>Complex Method (cc = 12)</t>
  </si>
  <si>
    <t>Overall Code Complexity</t>
  </si>
  <si>
    <t>Overall Code Complexity ()</t>
  </si>
  <si>
    <t>Bumpy Road Ahead (bumps = 8)</t>
  </si>
  <si>
    <t>Complex Method (cc = 49)</t>
  </si>
  <si>
    <t>Complex Method (cc = 24)</t>
  </si>
  <si>
    <t>Complex Conditional</t>
  </si>
  <si>
    <t>Complex Conditional (2 complex conditional expressions)</t>
  </si>
  <si>
    <t>Bumpy Road Ahead (bumps = 4)</t>
  </si>
  <si>
    <t>Complex Method (cc = 28)</t>
  </si>
  <si>
    <t>Low Cohesion</t>
  </si>
  <si>
    <t>Low Cohesion ()</t>
  </si>
  <si>
    <t>Complex Method (cc = 36)</t>
  </si>
  <si>
    <t>Large Method (LoC = 128 lines)</t>
  </si>
  <si>
    <t>Complex Method (cc = 25)</t>
  </si>
  <si>
    <t>Large Method (LoC = 95 lines)</t>
  </si>
  <si>
    <t>Complex Method (cc = 9)</t>
  </si>
  <si>
    <t>Code Duplication</t>
  </si>
  <si>
    <t>Code Duplication ()</t>
  </si>
  <si>
    <t>Complex Method (cc = 55)</t>
  </si>
  <si>
    <t>Large Method (LoC = 143 lines)</t>
  </si>
  <si>
    <t>Complex Method (cc = 59)</t>
  </si>
  <si>
    <t>Large Method (LoC = 164 lines)</t>
  </si>
  <si>
    <t>Primitive Obsession</t>
  </si>
  <si>
    <t>Primitive Obsession ()</t>
  </si>
  <si>
    <t>Complex Method (cc = 15)</t>
  </si>
  <si>
    <t>Complex Method (cc = 11)</t>
  </si>
  <si>
    <t>Complex Method (cc = 13)</t>
  </si>
  <si>
    <t>/E:/AI IDE Analysis/AI-IDEs-code-analysis/P5_ChartMaker/backend/api/export_views.py</t>
  </si>
  <si>
    <t>/E:/AI IDE Analysis/AI-IDEs-code-analysis/P5_ChartMaker/backend/api/parsers.py</t>
  </si>
  <si>
    <t>/E:/AI IDE Analysis/AI-IDEs-code-analysis/P5_ChartMaker/backend/api/serializers.py</t>
  </si>
  <si>
    <t>/E:/AI IDE Analysis/AI-IDEs-code-analysis/P5_ChartMaker/backend/api/views.py</t>
  </si>
  <si>
    <t>/E:/AI IDE Analysis/AI-IDEs-code-analysis/P5_ChartMaker/frontend/src/components/ChartPreview.vue</t>
  </si>
  <si>
    <t>/E:/AI IDE Analysis/AI-IDEs-code-analysis/P5_ChartMaker/frontend/src/components/ColumnSelection.vue</t>
  </si>
  <si>
    <t>/E:/AI IDE Analysis/AI-IDEs-code-analysis/P5_ChartMaker/frontend/src/components/DataGrid.vue</t>
  </si>
  <si>
    <t>/E:/AI IDE Analysis/AI-IDEs-code-analysis/P5_ChartMaker/frontend/src/components/StylePanel.vue</t>
  </si>
  <si>
    <t>/E:/AI IDE Analysis/AI-IDEs-code-analysis/P5_ChartMaker/frontend/src/stores/project.ts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</si>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</sst>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"/>
  <sheetViews>
    <sheetView topLeftCell="A46" workbookViewId="0">
      <selection activeCell="A63" sqref="A63"/>
    </sheetView>
  </sheetViews>
  <sheetFormatPr defaultRowHeight="14.5" x14ac:dyDescent="0.35"/>
  <cols>
    <col min="1" max="1" width="93.54296875" customWidth="1"/>
    <col min="2" max="2" width="36.26953125" customWidth="1"/>
    <col min="3" max="3" width="51.36328125" customWidth="1"/>
    <col min="4" max="4" width="18.453125" customWidth="1"/>
    <col min="5" max="5" width="17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46</v>
      </c>
      <c r="B2" t="s">
        <v>5</v>
      </c>
      <c r="C2" t="s">
        <v>6</v>
      </c>
      <c r="D2">
        <v>28</v>
      </c>
      <c r="E2">
        <v>28</v>
      </c>
    </row>
    <row r="3" spans="1:5" x14ac:dyDescent="0.35">
      <c r="A3" t="s">
        <v>46</v>
      </c>
      <c r="B3" t="s">
        <v>7</v>
      </c>
      <c r="C3" t="s">
        <v>8</v>
      </c>
      <c r="D3">
        <v>28</v>
      </c>
      <c r="E3">
        <v>28</v>
      </c>
    </row>
    <row r="4" spans="1:5" x14ac:dyDescent="0.35">
      <c r="A4" t="s">
        <v>46</v>
      </c>
      <c r="B4" t="s">
        <v>9</v>
      </c>
      <c r="C4" t="s">
        <v>10</v>
      </c>
      <c r="D4">
        <v>134</v>
      </c>
      <c r="E4">
        <v>134</v>
      </c>
    </row>
    <row r="5" spans="1:5" x14ac:dyDescent="0.35">
      <c r="A5" t="s">
        <v>47</v>
      </c>
      <c r="B5" t="s">
        <v>11</v>
      </c>
      <c r="C5" t="s">
        <v>12</v>
      </c>
      <c r="D5">
        <v>68</v>
      </c>
      <c r="E5">
        <v>68</v>
      </c>
    </row>
    <row r="6" spans="1:5" x14ac:dyDescent="0.35">
      <c r="A6" t="s">
        <v>47</v>
      </c>
      <c r="B6" t="s">
        <v>13</v>
      </c>
      <c r="C6" t="s">
        <v>14</v>
      </c>
      <c r="D6">
        <v>68</v>
      </c>
      <c r="E6">
        <v>68</v>
      </c>
    </row>
    <row r="7" spans="1:5" x14ac:dyDescent="0.35">
      <c r="A7" t="s">
        <v>47</v>
      </c>
      <c r="B7" t="s">
        <v>5</v>
      </c>
      <c r="C7" t="s">
        <v>15</v>
      </c>
      <c r="D7">
        <v>68</v>
      </c>
      <c r="E7">
        <v>68</v>
      </c>
    </row>
    <row r="8" spans="1:5" x14ac:dyDescent="0.35">
      <c r="A8" t="s">
        <v>47</v>
      </c>
      <c r="B8" t="s">
        <v>11</v>
      </c>
      <c r="C8" t="s">
        <v>16</v>
      </c>
      <c r="D8">
        <v>133</v>
      </c>
      <c r="E8">
        <v>133</v>
      </c>
    </row>
    <row r="9" spans="1:5" x14ac:dyDescent="0.35">
      <c r="A9" t="s">
        <v>47</v>
      </c>
      <c r="B9" t="s">
        <v>13</v>
      </c>
      <c r="C9" t="s">
        <v>14</v>
      </c>
      <c r="D9">
        <v>133</v>
      </c>
      <c r="E9">
        <v>133</v>
      </c>
    </row>
    <row r="10" spans="1:5" x14ac:dyDescent="0.35">
      <c r="A10" t="s">
        <v>47</v>
      </c>
      <c r="B10" t="s">
        <v>5</v>
      </c>
      <c r="C10" t="s">
        <v>17</v>
      </c>
      <c r="D10">
        <v>133</v>
      </c>
      <c r="E10">
        <v>133</v>
      </c>
    </row>
    <row r="11" spans="1:5" x14ac:dyDescent="0.35">
      <c r="A11" t="s">
        <v>47</v>
      </c>
      <c r="B11" t="s">
        <v>11</v>
      </c>
      <c r="C11" t="s">
        <v>12</v>
      </c>
      <c r="D11">
        <v>200</v>
      </c>
      <c r="E11">
        <v>200</v>
      </c>
    </row>
    <row r="12" spans="1:5" x14ac:dyDescent="0.35">
      <c r="A12" t="s">
        <v>47</v>
      </c>
      <c r="B12" t="s">
        <v>5</v>
      </c>
      <c r="C12" t="s">
        <v>18</v>
      </c>
      <c r="D12">
        <v>200</v>
      </c>
      <c r="E12">
        <v>200</v>
      </c>
    </row>
    <row r="13" spans="1:5" x14ac:dyDescent="0.35">
      <c r="A13" t="s">
        <v>48</v>
      </c>
      <c r="B13" t="s">
        <v>19</v>
      </c>
      <c r="C13" t="s">
        <v>20</v>
      </c>
      <c r="D13">
        <v>1</v>
      </c>
      <c r="E13">
        <v>1</v>
      </c>
    </row>
    <row r="14" spans="1:5" x14ac:dyDescent="0.35">
      <c r="A14" t="s">
        <v>48</v>
      </c>
      <c r="B14" t="s">
        <v>11</v>
      </c>
      <c r="C14" t="s">
        <v>21</v>
      </c>
      <c r="D14">
        <v>140</v>
      </c>
      <c r="E14">
        <v>140</v>
      </c>
    </row>
    <row r="15" spans="1:5" x14ac:dyDescent="0.35">
      <c r="A15" t="s">
        <v>48</v>
      </c>
      <c r="B15" t="s">
        <v>5</v>
      </c>
      <c r="C15" t="s">
        <v>22</v>
      </c>
      <c r="D15">
        <v>140</v>
      </c>
      <c r="E15">
        <v>140</v>
      </c>
    </row>
    <row r="16" spans="1:5" x14ac:dyDescent="0.35">
      <c r="A16" t="s">
        <v>48</v>
      </c>
      <c r="B16" t="s">
        <v>11</v>
      </c>
      <c r="C16" t="s">
        <v>12</v>
      </c>
      <c r="D16">
        <v>207</v>
      </c>
      <c r="E16">
        <v>207</v>
      </c>
    </row>
    <row r="17" spans="1:5" x14ac:dyDescent="0.35">
      <c r="A17" t="s">
        <v>48</v>
      </c>
      <c r="B17" t="s">
        <v>5</v>
      </c>
      <c r="C17" t="s">
        <v>23</v>
      </c>
      <c r="D17">
        <v>207</v>
      </c>
      <c r="E17">
        <v>207</v>
      </c>
    </row>
    <row r="18" spans="1:5" x14ac:dyDescent="0.35">
      <c r="A18" t="s">
        <v>48</v>
      </c>
      <c r="B18" t="s">
        <v>24</v>
      </c>
      <c r="C18" t="s">
        <v>25</v>
      </c>
      <c r="D18">
        <v>217</v>
      </c>
      <c r="E18">
        <v>217</v>
      </c>
    </row>
    <row r="19" spans="1:5" x14ac:dyDescent="0.35">
      <c r="A19" t="s">
        <v>48</v>
      </c>
      <c r="B19" t="s">
        <v>11</v>
      </c>
      <c r="C19" t="s">
        <v>26</v>
      </c>
      <c r="D19">
        <v>243</v>
      </c>
      <c r="E19">
        <v>243</v>
      </c>
    </row>
    <row r="20" spans="1:5" x14ac:dyDescent="0.35">
      <c r="A20" t="s">
        <v>48</v>
      </c>
      <c r="B20" t="s">
        <v>5</v>
      </c>
      <c r="C20" t="s">
        <v>27</v>
      </c>
      <c r="D20">
        <v>243</v>
      </c>
      <c r="E20">
        <v>243</v>
      </c>
    </row>
    <row r="21" spans="1:5" x14ac:dyDescent="0.35">
      <c r="A21" t="s">
        <v>49</v>
      </c>
      <c r="B21" t="s">
        <v>28</v>
      </c>
      <c r="C21" t="s">
        <v>29</v>
      </c>
      <c r="D21">
        <v>1</v>
      </c>
      <c r="E21">
        <v>1</v>
      </c>
    </row>
    <row r="22" spans="1:5" x14ac:dyDescent="0.35">
      <c r="A22" t="s">
        <v>49</v>
      </c>
      <c r="B22" t="s">
        <v>19</v>
      </c>
      <c r="C22" t="s">
        <v>20</v>
      </c>
      <c r="D22">
        <v>1</v>
      </c>
      <c r="E22">
        <v>1</v>
      </c>
    </row>
    <row r="23" spans="1:5" x14ac:dyDescent="0.35">
      <c r="A23" t="s">
        <v>49</v>
      </c>
      <c r="B23" t="s">
        <v>5</v>
      </c>
      <c r="C23" t="s">
        <v>15</v>
      </c>
      <c r="D23">
        <v>173</v>
      </c>
      <c r="E23">
        <v>173</v>
      </c>
    </row>
    <row r="24" spans="1:5" x14ac:dyDescent="0.35">
      <c r="A24" t="s">
        <v>49</v>
      </c>
      <c r="B24" t="s">
        <v>5</v>
      </c>
      <c r="C24" t="s">
        <v>30</v>
      </c>
      <c r="D24">
        <v>280</v>
      </c>
      <c r="E24">
        <v>280</v>
      </c>
    </row>
    <row r="25" spans="1:5" x14ac:dyDescent="0.35">
      <c r="A25" t="s">
        <v>49</v>
      </c>
      <c r="B25" t="s">
        <v>7</v>
      </c>
      <c r="C25" t="s">
        <v>31</v>
      </c>
      <c r="D25">
        <v>280</v>
      </c>
      <c r="E25">
        <v>280</v>
      </c>
    </row>
    <row r="26" spans="1:5" x14ac:dyDescent="0.35">
      <c r="A26" t="s">
        <v>49</v>
      </c>
      <c r="B26" t="s">
        <v>5</v>
      </c>
      <c r="C26" t="s">
        <v>32</v>
      </c>
      <c r="D26">
        <v>508</v>
      </c>
      <c r="E26">
        <v>508</v>
      </c>
    </row>
    <row r="27" spans="1:5" x14ac:dyDescent="0.35">
      <c r="A27" t="s">
        <v>49</v>
      </c>
      <c r="B27" t="s">
        <v>7</v>
      </c>
      <c r="C27" t="s">
        <v>33</v>
      </c>
      <c r="D27">
        <v>508</v>
      </c>
      <c r="E27">
        <v>508</v>
      </c>
    </row>
    <row r="28" spans="1:5" x14ac:dyDescent="0.35">
      <c r="A28" t="s">
        <v>49</v>
      </c>
      <c r="B28" t="s">
        <v>5</v>
      </c>
      <c r="C28" t="s">
        <v>34</v>
      </c>
      <c r="D28">
        <v>639</v>
      </c>
      <c r="E28">
        <v>639</v>
      </c>
    </row>
    <row r="29" spans="1:5" x14ac:dyDescent="0.35">
      <c r="A29" t="s">
        <v>49</v>
      </c>
      <c r="B29" t="s">
        <v>35</v>
      </c>
      <c r="C29" t="s">
        <v>36</v>
      </c>
      <c r="D29">
        <v>771</v>
      </c>
      <c r="E29">
        <v>771</v>
      </c>
    </row>
    <row r="30" spans="1:5" x14ac:dyDescent="0.35">
      <c r="A30" t="s">
        <v>49</v>
      </c>
      <c r="B30" t="s">
        <v>35</v>
      </c>
      <c r="C30" t="s">
        <v>36</v>
      </c>
      <c r="D30">
        <v>807</v>
      </c>
      <c r="E30">
        <v>807</v>
      </c>
    </row>
    <row r="31" spans="1:5" x14ac:dyDescent="0.35">
      <c r="A31" t="s">
        <v>50</v>
      </c>
      <c r="B31" t="s">
        <v>19</v>
      </c>
      <c r="C31" t="s">
        <v>20</v>
      </c>
      <c r="D31">
        <v>1</v>
      </c>
      <c r="E31">
        <v>1</v>
      </c>
    </row>
    <row r="32" spans="1:5" x14ac:dyDescent="0.35">
      <c r="A32" t="s">
        <v>50</v>
      </c>
      <c r="B32" t="s">
        <v>11</v>
      </c>
      <c r="C32" t="s">
        <v>12</v>
      </c>
      <c r="D32">
        <v>184</v>
      </c>
      <c r="E32">
        <v>184</v>
      </c>
    </row>
    <row r="33" spans="1:5" x14ac:dyDescent="0.35">
      <c r="A33" t="s">
        <v>50</v>
      </c>
      <c r="B33" t="s">
        <v>5</v>
      </c>
      <c r="C33" t="s">
        <v>37</v>
      </c>
      <c r="D33">
        <v>184</v>
      </c>
      <c r="E33">
        <v>184</v>
      </c>
    </row>
    <row r="34" spans="1:5" x14ac:dyDescent="0.35">
      <c r="A34" t="s">
        <v>50</v>
      </c>
      <c r="B34" t="s">
        <v>7</v>
      </c>
      <c r="C34" t="s">
        <v>38</v>
      </c>
      <c r="D34">
        <v>184</v>
      </c>
      <c r="E34">
        <v>184</v>
      </c>
    </row>
    <row r="35" spans="1:5" x14ac:dyDescent="0.35">
      <c r="A35" t="s">
        <v>50</v>
      </c>
      <c r="B35" t="s">
        <v>24</v>
      </c>
      <c r="C35" t="s">
        <v>25</v>
      </c>
      <c r="D35">
        <v>268</v>
      </c>
      <c r="E35">
        <v>268</v>
      </c>
    </row>
    <row r="36" spans="1:5" x14ac:dyDescent="0.35">
      <c r="A36" t="s">
        <v>50</v>
      </c>
      <c r="B36" t="s">
        <v>24</v>
      </c>
      <c r="C36" t="s">
        <v>25</v>
      </c>
      <c r="D36">
        <v>273</v>
      </c>
      <c r="E36">
        <v>273</v>
      </c>
    </row>
    <row r="37" spans="1:5" x14ac:dyDescent="0.35">
      <c r="A37" t="s">
        <v>50</v>
      </c>
      <c r="B37" t="s">
        <v>11</v>
      </c>
      <c r="C37" t="s">
        <v>26</v>
      </c>
      <c r="D37">
        <v>343</v>
      </c>
      <c r="E37">
        <v>343</v>
      </c>
    </row>
    <row r="38" spans="1:5" x14ac:dyDescent="0.35">
      <c r="A38" t="s">
        <v>50</v>
      </c>
      <c r="B38" t="s">
        <v>5</v>
      </c>
      <c r="C38" t="s">
        <v>39</v>
      </c>
      <c r="D38">
        <v>343</v>
      </c>
      <c r="E38">
        <v>343</v>
      </c>
    </row>
    <row r="39" spans="1:5" x14ac:dyDescent="0.35">
      <c r="A39" t="s">
        <v>50</v>
      </c>
      <c r="B39" t="s">
        <v>7</v>
      </c>
      <c r="C39" t="s">
        <v>40</v>
      </c>
      <c r="D39">
        <v>343</v>
      </c>
      <c r="E39">
        <v>343</v>
      </c>
    </row>
    <row r="40" spans="1:5" x14ac:dyDescent="0.35">
      <c r="A40" t="s">
        <v>50</v>
      </c>
      <c r="B40" t="s">
        <v>24</v>
      </c>
      <c r="C40" t="s">
        <v>25</v>
      </c>
      <c r="D40">
        <v>344</v>
      </c>
      <c r="E40">
        <v>344</v>
      </c>
    </row>
    <row r="41" spans="1:5" x14ac:dyDescent="0.35">
      <c r="A41" t="s">
        <v>50</v>
      </c>
      <c r="B41" t="s">
        <v>24</v>
      </c>
      <c r="C41" t="s">
        <v>25</v>
      </c>
      <c r="D41">
        <v>529</v>
      </c>
      <c r="E41">
        <v>529</v>
      </c>
    </row>
    <row r="42" spans="1:5" x14ac:dyDescent="0.35">
      <c r="A42" t="s">
        <v>51</v>
      </c>
      <c r="B42" t="s">
        <v>19</v>
      </c>
      <c r="C42" t="s">
        <v>20</v>
      </c>
      <c r="D42">
        <v>1</v>
      </c>
      <c r="E42">
        <v>1</v>
      </c>
    </row>
    <row r="43" spans="1:5" x14ac:dyDescent="0.35">
      <c r="A43" t="s">
        <v>51</v>
      </c>
      <c r="B43" t="s">
        <v>11</v>
      </c>
      <c r="C43" t="s">
        <v>12</v>
      </c>
      <c r="D43">
        <v>253</v>
      </c>
      <c r="E43">
        <v>253</v>
      </c>
    </row>
    <row r="44" spans="1:5" x14ac:dyDescent="0.35">
      <c r="A44" t="s">
        <v>51</v>
      </c>
      <c r="B44" t="s">
        <v>5</v>
      </c>
      <c r="C44" t="s">
        <v>15</v>
      </c>
      <c r="D44">
        <v>274</v>
      </c>
      <c r="E44">
        <v>274</v>
      </c>
    </row>
    <row r="45" spans="1:5" x14ac:dyDescent="0.35">
      <c r="A45" t="s">
        <v>52</v>
      </c>
      <c r="B45" t="s">
        <v>41</v>
      </c>
      <c r="C45" t="s">
        <v>42</v>
      </c>
      <c r="D45">
        <v>1</v>
      </c>
      <c r="E45">
        <v>1</v>
      </c>
    </row>
    <row r="46" spans="1:5" x14ac:dyDescent="0.35">
      <c r="A46" t="s">
        <v>52</v>
      </c>
      <c r="B46" t="s">
        <v>5</v>
      </c>
      <c r="C46" t="s">
        <v>18</v>
      </c>
      <c r="D46">
        <v>277</v>
      </c>
      <c r="E46">
        <v>277</v>
      </c>
    </row>
    <row r="47" spans="1:5" x14ac:dyDescent="0.35">
      <c r="A47" t="s">
        <v>52</v>
      </c>
      <c r="B47" t="s">
        <v>5</v>
      </c>
      <c r="C47" t="s">
        <v>6</v>
      </c>
      <c r="D47">
        <v>323</v>
      </c>
      <c r="E47">
        <v>323</v>
      </c>
    </row>
    <row r="48" spans="1:5" x14ac:dyDescent="0.35">
      <c r="A48" t="s">
        <v>53</v>
      </c>
      <c r="B48" t="s">
        <v>5</v>
      </c>
      <c r="C48" t="s">
        <v>43</v>
      </c>
      <c r="D48">
        <v>323</v>
      </c>
      <c r="E48">
        <v>323</v>
      </c>
    </row>
    <row r="49" spans="1:5" x14ac:dyDescent="0.35">
      <c r="A49" t="s">
        <v>54</v>
      </c>
      <c r="B49" t="s">
        <v>19</v>
      </c>
      <c r="C49" t="s">
        <v>20</v>
      </c>
      <c r="D49">
        <v>1</v>
      </c>
      <c r="E49">
        <v>1</v>
      </c>
    </row>
    <row r="50" spans="1:5" x14ac:dyDescent="0.35">
      <c r="A50" t="s">
        <v>54</v>
      </c>
      <c r="B50" t="s">
        <v>41</v>
      </c>
      <c r="C50" t="s">
        <v>42</v>
      </c>
      <c r="D50">
        <v>1</v>
      </c>
      <c r="E50">
        <v>1</v>
      </c>
    </row>
    <row r="51" spans="1:5" x14ac:dyDescent="0.35">
      <c r="A51" t="s">
        <v>54</v>
      </c>
      <c r="B51" t="s">
        <v>35</v>
      </c>
      <c r="C51" t="s">
        <v>36</v>
      </c>
      <c r="D51">
        <v>34</v>
      </c>
      <c r="E51">
        <v>34</v>
      </c>
    </row>
    <row r="52" spans="1:5" x14ac:dyDescent="0.35">
      <c r="A52" t="s">
        <v>54</v>
      </c>
      <c r="B52" t="s">
        <v>5</v>
      </c>
      <c r="C52" t="s">
        <v>6</v>
      </c>
      <c r="D52">
        <v>50</v>
      </c>
      <c r="E52">
        <v>50</v>
      </c>
    </row>
    <row r="53" spans="1:5" x14ac:dyDescent="0.35">
      <c r="A53" t="s">
        <v>54</v>
      </c>
      <c r="B53" t="s">
        <v>5</v>
      </c>
      <c r="C53" t="s">
        <v>44</v>
      </c>
      <c r="D53">
        <v>90</v>
      </c>
      <c r="E53">
        <v>90</v>
      </c>
    </row>
    <row r="54" spans="1:5" x14ac:dyDescent="0.35">
      <c r="A54" t="s">
        <v>54</v>
      </c>
      <c r="B54" t="s">
        <v>35</v>
      </c>
      <c r="C54" t="s">
        <v>36</v>
      </c>
      <c r="D54">
        <v>172</v>
      </c>
      <c r="E54">
        <v>172</v>
      </c>
    </row>
    <row r="55" spans="1:5" x14ac:dyDescent="0.35">
      <c r="A55" t="s">
        <v>54</v>
      </c>
      <c r="B55" t="s">
        <v>5</v>
      </c>
      <c r="C55" t="s">
        <v>45</v>
      </c>
      <c r="D55">
        <v>245</v>
      </c>
      <c r="E55">
        <v>245</v>
      </c>
    </row>
    <row r="56" spans="1:5" x14ac:dyDescent="0.35">
      <c r="A56" t="s">
        <v>54</v>
      </c>
      <c r="B56" t="s">
        <v>11</v>
      </c>
      <c r="C56" t="s">
        <v>12</v>
      </c>
      <c r="D56">
        <v>302</v>
      </c>
      <c r="E56">
        <v>302</v>
      </c>
    </row>
    <row r="57" spans="1:5" x14ac:dyDescent="0.35">
      <c r="A57" t="s">
        <v>54</v>
      </c>
      <c r="B57" t="s">
        <v>5</v>
      </c>
      <c r="C57" t="s">
        <v>45</v>
      </c>
      <c r="D57">
        <v>339</v>
      </c>
      <c r="E57">
        <v>339</v>
      </c>
    </row>
    <row r="58" spans="1:5" x14ac:dyDescent="0.35">
      <c r="A58" t="s">
        <v>54</v>
      </c>
      <c r="B58" t="s">
        <v>5</v>
      </c>
      <c r="C58" t="s">
        <v>34</v>
      </c>
      <c r="D58">
        <v>463</v>
      </c>
      <c r="E58">
        <v>463</v>
      </c>
    </row>
    <row r="59" spans="1:5" x14ac:dyDescent="0.35">
      <c r="A59" t="s">
        <v>54</v>
      </c>
      <c r="B59" t="s">
        <v>35</v>
      </c>
      <c r="C59" t="s">
        <v>36</v>
      </c>
      <c r="D59">
        <v>463</v>
      </c>
      <c r="E59">
        <v>463</v>
      </c>
    </row>
    <row r="60" spans="1:5" x14ac:dyDescent="0.35">
      <c r="A60" t="s">
        <v>54</v>
      </c>
      <c r="B60" t="s">
        <v>5</v>
      </c>
      <c r="C60" t="s">
        <v>34</v>
      </c>
      <c r="D60">
        <v>502</v>
      </c>
      <c r="E60">
        <v>502</v>
      </c>
    </row>
    <row r="61" spans="1:5" x14ac:dyDescent="0.35">
      <c r="A61" t="s">
        <v>54</v>
      </c>
      <c r="B61" t="s">
        <v>35</v>
      </c>
      <c r="C61" t="s">
        <v>36</v>
      </c>
      <c r="D61">
        <v>502</v>
      </c>
      <c r="E61">
        <v>502</v>
      </c>
    </row>
    <row r="62" spans="1:5" x14ac:dyDescent="0.35">
      <c r="A62" t="s">
        <v>54</v>
      </c>
      <c r="B62" t="s">
        <v>35</v>
      </c>
      <c r="C62" t="s">
        <v>36</v>
      </c>
      <c r="D62">
        <v>582</v>
      </c>
      <c r="E62">
        <v>582</v>
      </c>
    </row>
    <row r="63" spans="1:5" x14ac:dyDescent="0.35">
      <c r="A63" t="s">
        <v>54</v>
      </c>
      <c r="B63" t="s">
        <v>35</v>
      </c>
      <c r="C63" t="s">
        <v>36</v>
      </c>
      <c r="D63">
        <v>601</v>
      </c>
      <c r="E63">
        <v>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3"/>
  <sheetViews>
    <sheetView tabSelected="1" workbookViewId="0">
      <selection activeCell="B19" sqref="B19"/>
    </sheetView>
  </sheetViews>
  <sheetFormatPr defaultRowHeight="14.5" x14ac:dyDescent="0.35"/>
  <cols>
    <col min="2" max="2" width="36.08984375" customWidth="1"/>
    <col min="3" max="3" width="11.90625" customWidth="1"/>
  </cols>
  <sheetData>
    <row r="2" spans="1:3" x14ac:dyDescent="0.35">
      <c r="A2" s="3" t="s">
        <v>55</v>
      </c>
      <c r="B2" s="3" t="s">
        <v>56</v>
      </c>
      <c r="C2" s="3" t="s">
        <v>57</v>
      </c>
    </row>
    <row r="3" spans="1:3" x14ac:dyDescent="0.35">
      <c r="A3" s="2">
        <v>1</v>
      </c>
      <c r="B3" s="2" t="s">
        <v>5</v>
      </c>
      <c r="C3" s="2">
        <f>COUNTIF(Issues!B2:B102,B3)</f>
        <v>23</v>
      </c>
    </row>
    <row r="4" spans="1:3" x14ac:dyDescent="0.35">
      <c r="A4" s="2">
        <v>2</v>
      </c>
      <c r="B4" s="2" t="s">
        <v>35</v>
      </c>
      <c r="C4" s="2">
        <f>COUNTIF(Issues!B2:B103,B4)</f>
        <v>8</v>
      </c>
    </row>
    <row r="5" spans="1:3" x14ac:dyDescent="0.35">
      <c r="A5" s="2">
        <v>3</v>
      </c>
      <c r="B5" s="2" t="s">
        <v>11</v>
      </c>
      <c r="C5" s="2">
        <f>COUNTIF(Issues!B2:B104,B5)</f>
        <v>10</v>
      </c>
    </row>
    <row r="6" spans="1:3" x14ac:dyDescent="0.35">
      <c r="A6" s="2">
        <v>4</v>
      </c>
      <c r="B6" s="2" t="s">
        <v>19</v>
      </c>
      <c r="C6" s="2">
        <f>COUNTIF(Issues!B2:B105,B6)</f>
        <v>5</v>
      </c>
    </row>
    <row r="7" spans="1:3" x14ac:dyDescent="0.35">
      <c r="A7" s="2">
        <v>5</v>
      </c>
      <c r="B7" s="2" t="s">
        <v>7</v>
      </c>
      <c r="C7" s="2">
        <f>COUNTIF(Issues!B2:B106,B7)</f>
        <v>5</v>
      </c>
    </row>
    <row r="8" spans="1:3" x14ac:dyDescent="0.35">
      <c r="A8" s="2">
        <v>6</v>
      </c>
      <c r="B8" s="2" t="s">
        <v>24</v>
      </c>
      <c r="C8" s="2">
        <f>COUNTIF(Issues!B2:B107,B8)</f>
        <v>5</v>
      </c>
    </row>
    <row r="9" spans="1:3" x14ac:dyDescent="0.35">
      <c r="A9" s="2">
        <v>7</v>
      </c>
      <c r="B9" s="2" t="s">
        <v>13</v>
      </c>
      <c r="C9" s="2">
        <f>COUNTIF(Issues!B2:B108,B9)</f>
        <v>2</v>
      </c>
    </row>
    <row r="10" spans="1:3" x14ac:dyDescent="0.35">
      <c r="A10" s="2">
        <v>8</v>
      </c>
      <c r="B10" s="2" t="s">
        <v>41</v>
      </c>
      <c r="C10" s="2">
        <f>COUNTIF(Issues!B2:B109,B10)</f>
        <v>2</v>
      </c>
    </row>
    <row r="11" spans="1:3" x14ac:dyDescent="0.35">
      <c r="A11" s="2">
        <v>9</v>
      </c>
      <c r="B11" s="2" t="s">
        <v>28</v>
      </c>
      <c r="C11" s="2">
        <f>COUNTIF(Issues!B2:B110,B11)</f>
        <v>1</v>
      </c>
    </row>
    <row r="12" spans="1:3" x14ac:dyDescent="0.35">
      <c r="A12" s="2">
        <v>10</v>
      </c>
      <c r="B12" s="2" t="s">
        <v>9</v>
      </c>
      <c r="C12" s="2">
        <f>COUNTIF(Issues!B2:B111,B12)</f>
        <v>1</v>
      </c>
    </row>
    <row r="13" spans="1:3" x14ac:dyDescent="0.35">
      <c r="A13" s="4"/>
      <c r="B13" s="3" t="s">
        <v>58</v>
      </c>
      <c r="C13" s="3">
        <f>SUM(C3:C12)</f>
        <v>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2025-12-07T10:05:32Z</dcterms:created>
  <dcterms:modified xsi:type="dcterms:W3CDTF">2026-04-07T14:05:14Z</dcterms:modified>
</cp:coreProperties>
</file>