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I IDE Analysis\AI-IDEs-code-analysis\design_issues\codescene\"/>
    </mc:Choice>
  </mc:AlternateContent>
  <bookViews>
    <workbookView xWindow="0" yWindow="0" windowWidth="19200" windowHeight="7050" activeTab="1"/>
  </bookViews>
  <sheets>
    <sheet name="Issues" sheetId="1" r:id="rId1"/>
    <sheet name="Stats" sheetId="2" r:id="rId2"/>
  </sheets>
  <calcPr calcId="162913"/>
</workbook>
</file>

<file path=xl/calcChain.xml><?xml version="1.0" encoding="utf-8"?>
<calcChain xmlns="http://schemas.openxmlformats.org/spreadsheetml/2006/main">
  <c r="C9" i="2" l="1"/>
  <c r="C8" i="2"/>
  <c r="C7" i="2"/>
  <c r="C6" i="2"/>
  <c r="C5" i="2"/>
  <c r="C4" i="2"/>
  <c r="C3" i="2"/>
  <c r="C10" i="2" l="1"/>
</calcChain>
</file>

<file path=xl/sharedStrings.xml><?xml version="1.0" encoding="utf-8"?>
<sst xmlns="http://schemas.openxmlformats.org/spreadsheetml/2006/main" count="364" uniqueCount="102">
  <si>
    <t>resource</t>
  </si>
  <si>
    <t>code/value</t>
  </si>
  <si>
    <t>message</t>
  </si>
  <si>
    <t>startLineNumber</t>
  </si>
  <si>
    <t>endLineNumber</t>
  </si>
  <si>
    <t>/E:/AI IDE Analysis/AI-IDEs-code-analysis/projects/P7_BlogWebsite/admin_frontend/src/components/AuthorBoxBlock.jsx</t>
  </si>
  <si>
    <t>Complex Method</t>
  </si>
  <si>
    <t>Complex Method (cc = 16)</t>
  </si>
  <si>
    <t>Complex Conditional</t>
  </si>
  <si>
    <t>Complex Conditional (3 complex conditional expressions)</t>
  </si>
  <si>
    <t>/E:/AI IDE Analysis/AI-IDEs-code-analysis/projects/P7_BlogWebsite/admin_frontend/src/components/CarouselBlock.jsx</t>
  </si>
  <si>
    <t>Complex Conditional (2 complex conditional expressions)</t>
  </si>
  <si>
    <t>/E:/AI IDE Analysis/AI-IDEs-code-analysis/projects/P7_BlogWebsite/admin_frontend/src/components/CodeBlock.jsx</t>
  </si>
  <si>
    <t>Complex Method (cc = 17)</t>
  </si>
  <si>
    <t>Large Method</t>
  </si>
  <si>
    <t>Large Method (LoC = 158 lines)</t>
  </si>
  <si>
    <t>/E:/AI IDE Analysis/AI-IDEs-code-analysis/projects/P7_BlogWebsite/admin_frontend/src/components/Layout.jsx</t>
  </si>
  <si>
    <t>Large Method (LoC = 172 lines)</t>
  </si>
  <si>
    <t>/E:/AI IDE Analysis/AI-IDEs-code-analysis/projects/P7_BlogWebsite/admin_frontend/src/components/MediaUpload.jsx</t>
  </si>
  <si>
    <t>Complex Method (cc = 12)</t>
  </si>
  <si>
    <t>/E:/AI IDE Analysis/AI-IDEs-code-analysis/projects/P7_BlogWebsite/admin_frontend/src/components/QuizBlock.jsx</t>
  </si>
  <si>
    <t>Complex Method (cc = 13)</t>
  </si>
  <si>
    <t>/E:/AI IDE Analysis/AI-IDEs-code-analysis/projects/P7_BlogWebsite/admin_frontend/src/components/RichTextEditor.jsx</t>
  </si>
  <si>
    <t>Large Method (LoC = 216 lines)</t>
  </si>
  <si>
    <t>/E:/AI IDE Analysis/AI-IDEs-code-analysis/projects/P7_BlogWebsite/admin_frontend/src/components/TableOfContentsBlock.jsx</t>
  </si>
  <si>
    <t>Complex Method (cc = 10)</t>
  </si>
  <si>
    <t>/E:/AI IDE Analysis/AI-IDEs-code-analysis/projects/P7_BlogWebsite/admin_frontend/src/components/TagInput.jsx</t>
  </si>
  <si>
    <t>Complex Method (cc = 14)</t>
  </si>
  <si>
    <t>/E:/AI IDE Analysis/AI-IDEs-code-analysis/projects/P7_BlogWebsite/admin_frontend/src/extensions/AuthorBoxExtension.jsx</t>
  </si>
  <si>
    <t>Complex Method (cc = 15)</t>
  </si>
  <si>
    <t>/E:/AI IDE Analysis/AI-IDEs-code-analysis/projects/P7_BlogWebsite/admin_frontend/src/extensions/CodeBlockExtension.jsx</t>
  </si>
  <si>
    <t>/E:/AI IDE Analysis/AI-IDEs-code-analysis/projects/P7_BlogWebsite/admin_frontend/src/extensions/QuizExtension.jsx</t>
  </si>
  <si>
    <t>Bumpy Road Ahead</t>
  </si>
  <si>
    <t>Bumpy Road Ahead (bumps = 2)</t>
  </si>
  <si>
    <t>Complex Method (cc = 23)</t>
  </si>
  <si>
    <t>/E:/AI IDE Analysis/AI-IDEs-code-analysis/projects/P7_BlogWebsite/admin_frontend/src/extensions/TableOfContentsExtension.jsx</t>
  </si>
  <si>
    <t>/E:/AI IDE Analysis/AI-IDEs-code-analysis/projects/P7_BlogWebsite/admin_frontend/src/pages/CategoriesListPage.jsx</t>
  </si>
  <si>
    <t>Complex Method (cc = 26)</t>
  </si>
  <si>
    <t>Large Method (LoC = 276 lines)</t>
  </si>
  <si>
    <t>/E:/AI IDE Analysis/AI-IDEs-code-analysis/projects/P7_BlogWebsite/admin_frontend/src/pages/CommentsListPage.jsx</t>
  </si>
  <si>
    <t>Code Duplication</t>
  </si>
  <si>
    <t>Code Duplication ()</t>
  </si>
  <si>
    <t>/E:/AI IDE Analysis/AI-IDEs-code-analysis/projects/P7_BlogWebsite/admin_frontend/src/pages/DashboardPage.jsx</t>
  </si>
  <si>
    <t>Complex Method (cc = 32)</t>
  </si>
  <si>
    <t>Large Method (LoC = 397 lines)</t>
  </si>
  <si>
    <t>/E:/AI IDE Analysis/AI-IDEs-code-analysis/projects/P7_BlogWebsite/admin_frontend/src/pages/LoginPage.jsx</t>
  </si>
  <si>
    <t>/E:/AI IDE Analysis/AI-IDEs-code-analysis/projects/P7_BlogWebsite/admin_frontend/src/pages/PostFormPage.jsx</t>
  </si>
  <si>
    <t>Overall Code Complexity</t>
  </si>
  <si>
    <t>Overall Code Complexity ()</t>
  </si>
  <si>
    <t>/E:/AI IDE Analysis/AI-IDEs-code-analysis/projects/P7_BlogWebsite/admin_frontend/src/pages/PostPreviewPage.jsx</t>
  </si>
  <si>
    <t>Complex Method (cc = 24)</t>
  </si>
  <si>
    <t>/E:/AI IDE Analysis/AI-IDEs-code-analysis/projects/P7_BlogWebsite/admin_frontend/src/pages/PostsListPage.jsx</t>
  </si>
  <si>
    <t>Complex Method (cc = 40)</t>
  </si>
  <si>
    <t>Large Method (LoC = 474 lines)</t>
  </si>
  <si>
    <t>/E:/AI IDE Analysis/AI-IDEs-code-analysis/projects/P7_BlogWebsite/admin_frontend/src/pages/TestPage.jsx</t>
  </si>
  <si>
    <t>Large Method (LoC = 188 lines)</t>
  </si>
  <si>
    <t>/E:/AI IDE Analysis/AI-IDEs-code-analysis/projects/P7_BlogWebsite/admin_frontend/src/services/categoryService.js</t>
  </si>
  <si>
    <t>/E:/AI IDE Analysis/AI-IDEs-code-analysis/projects/P7_BlogWebsite/admin_frontend/src/services/mediaService.js</t>
  </si>
  <si>
    <t>/E:/AI IDE Analysis/AI-IDEs-code-analysis/projects/P7_BlogWebsite/admin_frontend/src/services/postService.js</t>
  </si>
  <si>
    <t>/E:/AI IDE Analysis/AI-IDEs-code-analysis/projects/P7_BlogWebsite/admin_frontend/src/utils/blockConverter.js</t>
  </si>
  <si>
    <t>Bumpy Road Ahead (bumps = 3)</t>
  </si>
  <si>
    <t>Complex Method (cc = 62)</t>
  </si>
  <si>
    <t>Large Method (LoC = 126 lines)</t>
  </si>
  <si>
    <t>Complex Method (cc = 63)</t>
  </si>
  <si>
    <t>Large Method (LoC = 139 lines)</t>
  </si>
  <si>
    <t>/E:/AI IDE Analysis/AI-IDEs-code-analysis/projects/P7_BlogWebsite/backend/middleware/auth.js</t>
  </si>
  <si>
    <t>/E:/AI IDE Analysis/AI-IDEs-code-analysis/projects/P7_BlogWebsite/backend/models/Post.js</t>
  </si>
  <si>
    <t>/E:/AI IDE Analysis/AI-IDEs-code-analysis/projects/P7_BlogWebsite/backend/routes/comments.js</t>
  </si>
  <si>
    <t>/E:/AI IDE Analysis/AI-IDEs-code-analysis/projects/P7_BlogWebsite/backend/routes/quizzes.js</t>
  </si>
  <si>
    <t>/E:/AI IDE Analysis/AI-IDEs-code-analysis/projects/P7_BlogWebsite/backend/utils/blockValidator.js</t>
  </si>
  <si>
    <t>Bumpy Road Ahead (bumps = 12)</t>
  </si>
  <si>
    <t>Deep, Nested Complexity</t>
  </si>
  <si>
    <t>Deep, Nested Complexity (Nesting depth = 5 conditionals)</t>
  </si>
  <si>
    <t>Complex Method (cc = 129)</t>
  </si>
  <si>
    <t>Large Method (LoC = 232 lines)</t>
  </si>
  <si>
    <t>Complex Conditional (5 complex conditional expressions)</t>
  </si>
  <si>
    <t>Bumpy Road Ahead (bumps = 5)</t>
  </si>
  <si>
    <t>Complex Method (cc = 33)</t>
  </si>
  <si>
    <t>Large Method (LoC = 85 lines)</t>
  </si>
  <si>
    <t>Complex Method (cc = 9)</t>
  </si>
  <si>
    <t>/E:/AI IDE Analysis/AI-IDEs-code-analysis/projects/P7_BlogWebsite/user_frontend/app/category/[slug]/page.jsx</t>
  </si>
  <si>
    <t>Complex Method (cc = 27)</t>
  </si>
  <si>
    <t>Large Method (LoC = 242 lines)</t>
  </si>
  <si>
    <t>/E:/AI IDE Analysis/AI-IDEs-code-analysis/projects/P7_BlogWebsite/user_frontend/app/page.jsx</t>
  </si>
  <si>
    <t>Complex Method (cc = 37)</t>
  </si>
  <si>
    <t>Large Method (LoC = 384 lines)</t>
  </si>
  <si>
    <t>/E:/AI IDE Analysis/AI-IDEs-code-analysis/projects/P7_BlogWebsite/user_frontend/app/posts/[slug]/page.jsx</t>
  </si>
  <si>
    <t>Complex Method (cc = 19)</t>
  </si>
  <si>
    <t>Complex Method (cc = 51)</t>
  </si>
  <si>
    <t>Large Method (LoC = 180 lines)</t>
  </si>
  <si>
    <t>Complex Method (cc = 28)</t>
  </si>
  <si>
    <t>Large Method (LoC = 165 lines)</t>
  </si>
  <si>
    <t>Complex Method (cc = 25)</t>
  </si>
  <si>
    <t>/E:/AI IDE Analysis/AI-IDEs-code-analysis/projects/P7_BlogWebsite/user_frontend/app/search/page.jsx</t>
  </si>
  <si>
    <t>Large Method (LoC = 303 lines)</t>
  </si>
  <si>
    <t>/E:/AI IDE Analysis/AI-IDEs-code-analysis/projects/P7_BlogWebsite/user_frontend/app/test/page.jsx</t>
  </si>
  <si>
    <t>Large Method (LoC = 218 lines)</t>
  </si>
  <si>
    <t>/E:/AI IDE Analysis/AI-IDEs-code-analysis/projects/P7_BlogWebsite/user_frontend/services/postService.js</t>
  </si>
  <si>
    <t>#</t>
  </si>
  <si>
    <t>Issue</t>
  </si>
  <si>
    <t>Frequency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</si>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</sst>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workbookViewId="0">
      <selection activeCell="B1" sqref="B1"/>
    </sheetView>
  </sheetViews>
  <sheetFormatPr defaultRowHeight="14.5" x14ac:dyDescent="0.35"/>
  <cols>
    <col min="1" max="1" width="113.90625" customWidth="1"/>
    <col min="2" max="2" width="35.90625" customWidth="1"/>
    <col min="3" max="3" width="56.1796875" customWidth="1"/>
    <col min="4" max="4" width="21.6328125" customWidth="1"/>
    <col min="5" max="5" width="24.36328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9</v>
      </c>
      <c r="E2">
        <v>9</v>
      </c>
    </row>
    <row r="3" spans="1:5" x14ac:dyDescent="0.35">
      <c r="A3" t="s">
        <v>5</v>
      </c>
      <c r="B3" t="s">
        <v>8</v>
      </c>
      <c r="C3" t="s">
        <v>9</v>
      </c>
      <c r="D3">
        <v>100</v>
      </c>
      <c r="E3">
        <v>100</v>
      </c>
    </row>
    <row r="4" spans="1:5" x14ac:dyDescent="0.35">
      <c r="A4" t="s">
        <v>10</v>
      </c>
      <c r="B4" t="s">
        <v>8</v>
      </c>
      <c r="C4" t="s">
        <v>11</v>
      </c>
      <c r="D4">
        <v>7</v>
      </c>
      <c r="E4">
        <v>7</v>
      </c>
    </row>
    <row r="5" spans="1:5" x14ac:dyDescent="0.35">
      <c r="A5" t="s">
        <v>12</v>
      </c>
      <c r="B5" t="s">
        <v>6</v>
      </c>
      <c r="C5" t="s">
        <v>13</v>
      </c>
      <c r="D5">
        <v>3</v>
      </c>
      <c r="E5">
        <v>3</v>
      </c>
    </row>
    <row r="6" spans="1:5" x14ac:dyDescent="0.35">
      <c r="A6" t="s">
        <v>12</v>
      </c>
      <c r="B6" t="s">
        <v>14</v>
      </c>
      <c r="C6" t="s">
        <v>15</v>
      </c>
      <c r="D6">
        <v>3</v>
      </c>
      <c r="E6">
        <v>3</v>
      </c>
    </row>
    <row r="7" spans="1:5" x14ac:dyDescent="0.35">
      <c r="A7" t="s">
        <v>16</v>
      </c>
      <c r="B7" t="s">
        <v>6</v>
      </c>
      <c r="C7" t="s">
        <v>7</v>
      </c>
      <c r="D7">
        <v>5</v>
      </c>
      <c r="E7">
        <v>5</v>
      </c>
    </row>
    <row r="8" spans="1:5" x14ac:dyDescent="0.35">
      <c r="A8" t="s">
        <v>16</v>
      </c>
      <c r="B8" t="s">
        <v>14</v>
      </c>
      <c r="C8" t="s">
        <v>17</v>
      </c>
      <c r="D8">
        <v>5</v>
      </c>
      <c r="E8">
        <v>5</v>
      </c>
    </row>
    <row r="9" spans="1:5" x14ac:dyDescent="0.35">
      <c r="A9" t="s">
        <v>18</v>
      </c>
      <c r="B9" t="s">
        <v>6</v>
      </c>
      <c r="C9" t="s">
        <v>19</v>
      </c>
      <c r="D9">
        <v>130</v>
      </c>
      <c r="E9">
        <v>130</v>
      </c>
    </row>
    <row r="10" spans="1:5" x14ac:dyDescent="0.35">
      <c r="A10" t="s">
        <v>20</v>
      </c>
      <c r="B10" t="s">
        <v>6</v>
      </c>
      <c r="C10" t="s">
        <v>21</v>
      </c>
      <c r="D10">
        <v>5</v>
      </c>
      <c r="E10">
        <v>5</v>
      </c>
    </row>
    <row r="11" spans="1:5" x14ac:dyDescent="0.35">
      <c r="A11" t="s">
        <v>22</v>
      </c>
      <c r="B11" t="s">
        <v>14</v>
      </c>
      <c r="C11" t="s">
        <v>23</v>
      </c>
      <c r="D11">
        <v>145</v>
      </c>
      <c r="E11">
        <v>145</v>
      </c>
    </row>
    <row r="12" spans="1:5" x14ac:dyDescent="0.35">
      <c r="A12" t="s">
        <v>24</v>
      </c>
      <c r="B12" t="s">
        <v>6</v>
      </c>
      <c r="C12" t="s">
        <v>25</v>
      </c>
      <c r="D12">
        <v>3</v>
      </c>
      <c r="E12">
        <v>3</v>
      </c>
    </row>
    <row r="13" spans="1:5" x14ac:dyDescent="0.35">
      <c r="A13" t="s">
        <v>26</v>
      </c>
      <c r="B13" t="s">
        <v>6</v>
      </c>
      <c r="C13" t="s">
        <v>27</v>
      </c>
      <c r="D13">
        <v>52</v>
      </c>
      <c r="E13">
        <v>52</v>
      </c>
    </row>
    <row r="14" spans="1:5" x14ac:dyDescent="0.35">
      <c r="A14" t="s">
        <v>26</v>
      </c>
      <c r="B14" t="s">
        <v>8</v>
      </c>
      <c r="C14" t="s">
        <v>11</v>
      </c>
      <c r="D14">
        <v>60</v>
      </c>
      <c r="E14">
        <v>60</v>
      </c>
    </row>
    <row r="15" spans="1:5" x14ac:dyDescent="0.35">
      <c r="A15" t="s">
        <v>28</v>
      </c>
      <c r="B15" t="s">
        <v>6</v>
      </c>
      <c r="C15" t="s">
        <v>29</v>
      </c>
      <c r="D15">
        <v>80</v>
      </c>
      <c r="E15">
        <v>80</v>
      </c>
    </row>
    <row r="16" spans="1:5" x14ac:dyDescent="0.35">
      <c r="A16" t="s">
        <v>30</v>
      </c>
      <c r="B16" t="s">
        <v>6</v>
      </c>
      <c r="C16" t="s">
        <v>27</v>
      </c>
      <c r="D16">
        <v>68</v>
      </c>
      <c r="E16">
        <v>68</v>
      </c>
    </row>
    <row r="17" spans="1:5" x14ac:dyDescent="0.35">
      <c r="A17" t="s">
        <v>31</v>
      </c>
      <c r="B17" t="s">
        <v>6</v>
      </c>
      <c r="C17" t="s">
        <v>29</v>
      </c>
      <c r="D17">
        <v>15</v>
      </c>
      <c r="E17">
        <v>15</v>
      </c>
    </row>
    <row r="18" spans="1:5" x14ac:dyDescent="0.35">
      <c r="A18" t="s">
        <v>31</v>
      </c>
      <c r="B18" t="s">
        <v>32</v>
      </c>
      <c r="C18" t="s">
        <v>33</v>
      </c>
      <c r="D18">
        <v>113</v>
      </c>
      <c r="E18">
        <v>113</v>
      </c>
    </row>
    <row r="19" spans="1:5" x14ac:dyDescent="0.35">
      <c r="A19" t="s">
        <v>31</v>
      </c>
      <c r="B19" t="s">
        <v>6</v>
      </c>
      <c r="C19" t="s">
        <v>34</v>
      </c>
      <c r="D19">
        <v>113</v>
      </c>
      <c r="E19">
        <v>113</v>
      </c>
    </row>
    <row r="20" spans="1:5" x14ac:dyDescent="0.35">
      <c r="A20" t="s">
        <v>35</v>
      </c>
      <c r="B20" t="s">
        <v>6</v>
      </c>
      <c r="C20" t="s">
        <v>7</v>
      </c>
      <c r="D20">
        <v>68</v>
      </c>
      <c r="E20">
        <v>68</v>
      </c>
    </row>
    <row r="21" spans="1:5" x14ac:dyDescent="0.35">
      <c r="A21" t="s">
        <v>36</v>
      </c>
      <c r="B21" t="s">
        <v>6</v>
      </c>
      <c r="C21" t="s">
        <v>37</v>
      </c>
      <c r="D21">
        <v>5</v>
      </c>
      <c r="E21">
        <v>5</v>
      </c>
    </row>
    <row r="22" spans="1:5" x14ac:dyDescent="0.35">
      <c r="A22" t="s">
        <v>36</v>
      </c>
      <c r="B22" t="s">
        <v>14</v>
      </c>
      <c r="C22" t="s">
        <v>38</v>
      </c>
      <c r="D22">
        <v>5</v>
      </c>
      <c r="E22">
        <v>5</v>
      </c>
    </row>
    <row r="23" spans="1:5" x14ac:dyDescent="0.35">
      <c r="A23" t="s">
        <v>39</v>
      </c>
      <c r="B23" t="s">
        <v>40</v>
      </c>
      <c r="C23" t="s">
        <v>41</v>
      </c>
      <c r="D23">
        <v>46</v>
      </c>
      <c r="E23">
        <v>46</v>
      </c>
    </row>
    <row r="24" spans="1:5" x14ac:dyDescent="0.35">
      <c r="A24" t="s">
        <v>39</v>
      </c>
      <c r="B24" t="s">
        <v>40</v>
      </c>
      <c r="C24" t="s">
        <v>41</v>
      </c>
      <c r="D24">
        <v>57</v>
      </c>
      <c r="E24">
        <v>57</v>
      </c>
    </row>
    <row r="25" spans="1:5" x14ac:dyDescent="0.35">
      <c r="A25" t="s">
        <v>42</v>
      </c>
      <c r="B25" t="s">
        <v>6</v>
      </c>
      <c r="C25" t="s">
        <v>43</v>
      </c>
      <c r="D25">
        <v>6</v>
      </c>
      <c r="E25">
        <v>6</v>
      </c>
    </row>
    <row r="26" spans="1:5" x14ac:dyDescent="0.35">
      <c r="A26" t="s">
        <v>42</v>
      </c>
      <c r="B26" t="s">
        <v>14</v>
      </c>
      <c r="C26" t="s">
        <v>44</v>
      </c>
      <c r="D26">
        <v>6</v>
      </c>
      <c r="E26">
        <v>6</v>
      </c>
    </row>
    <row r="27" spans="1:5" x14ac:dyDescent="0.35">
      <c r="A27" t="s">
        <v>45</v>
      </c>
      <c r="B27" t="s">
        <v>6</v>
      </c>
      <c r="C27" t="s">
        <v>19</v>
      </c>
      <c r="D27">
        <v>62</v>
      </c>
      <c r="E27">
        <v>62</v>
      </c>
    </row>
    <row r="28" spans="1:5" x14ac:dyDescent="0.35">
      <c r="A28" t="s">
        <v>46</v>
      </c>
      <c r="B28" t="s">
        <v>47</v>
      </c>
      <c r="C28" t="s">
        <v>48</v>
      </c>
      <c r="D28">
        <v>1</v>
      </c>
      <c r="E28">
        <v>1</v>
      </c>
    </row>
    <row r="29" spans="1:5" x14ac:dyDescent="0.35">
      <c r="A29" t="s">
        <v>46</v>
      </c>
      <c r="B29" t="s">
        <v>6</v>
      </c>
      <c r="C29" t="s">
        <v>13</v>
      </c>
      <c r="D29">
        <v>53</v>
      </c>
      <c r="E29">
        <v>53</v>
      </c>
    </row>
    <row r="30" spans="1:5" x14ac:dyDescent="0.35">
      <c r="A30" t="s">
        <v>46</v>
      </c>
      <c r="B30" t="s">
        <v>6</v>
      </c>
      <c r="C30" t="s">
        <v>21</v>
      </c>
      <c r="D30">
        <v>127</v>
      </c>
      <c r="E30">
        <v>127</v>
      </c>
    </row>
    <row r="31" spans="1:5" x14ac:dyDescent="0.35">
      <c r="A31" t="s">
        <v>49</v>
      </c>
      <c r="B31" t="s">
        <v>47</v>
      </c>
      <c r="C31" t="s">
        <v>48</v>
      </c>
      <c r="D31">
        <v>1</v>
      </c>
      <c r="E31">
        <v>1</v>
      </c>
    </row>
    <row r="32" spans="1:5" x14ac:dyDescent="0.35">
      <c r="A32" t="s">
        <v>49</v>
      </c>
      <c r="B32" t="s">
        <v>6</v>
      </c>
      <c r="C32" t="s">
        <v>13</v>
      </c>
      <c r="D32">
        <v>45</v>
      </c>
      <c r="E32">
        <v>45</v>
      </c>
    </row>
    <row r="33" spans="1:5" x14ac:dyDescent="0.35">
      <c r="A33" t="s">
        <v>49</v>
      </c>
      <c r="B33" t="s">
        <v>6</v>
      </c>
      <c r="C33" t="s">
        <v>13</v>
      </c>
      <c r="D33">
        <v>102</v>
      </c>
      <c r="E33">
        <v>102</v>
      </c>
    </row>
    <row r="34" spans="1:5" x14ac:dyDescent="0.35">
      <c r="A34" t="s">
        <v>49</v>
      </c>
      <c r="B34" t="s">
        <v>6</v>
      </c>
      <c r="C34" t="s">
        <v>29</v>
      </c>
      <c r="D34">
        <v>241</v>
      </c>
      <c r="E34">
        <v>241</v>
      </c>
    </row>
    <row r="35" spans="1:5" x14ac:dyDescent="0.35">
      <c r="A35" t="s">
        <v>49</v>
      </c>
      <c r="B35" t="s">
        <v>6</v>
      </c>
      <c r="C35" t="s">
        <v>50</v>
      </c>
      <c r="D35">
        <v>333</v>
      </c>
      <c r="E35">
        <v>333</v>
      </c>
    </row>
    <row r="36" spans="1:5" x14ac:dyDescent="0.35">
      <c r="A36" t="s">
        <v>51</v>
      </c>
      <c r="B36" t="s">
        <v>6</v>
      </c>
      <c r="C36" t="s">
        <v>52</v>
      </c>
      <c r="D36">
        <v>5</v>
      </c>
      <c r="E36">
        <v>5</v>
      </c>
    </row>
    <row r="37" spans="1:5" x14ac:dyDescent="0.35">
      <c r="A37" t="s">
        <v>51</v>
      </c>
      <c r="B37" t="s">
        <v>14</v>
      </c>
      <c r="C37" t="s">
        <v>53</v>
      </c>
      <c r="D37">
        <v>5</v>
      </c>
      <c r="E37">
        <v>5</v>
      </c>
    </row>
    <row r="38" spans="1:5" x14ac:dyDescent="0.35">
      <c r="A38" t="s">
        <v>54</v>
      </c>
      <c r="B38" t="s">
        <v>6</v>
      </c>
      <c r="C38" t="s">
        <v>34</v>
      </c>
      <c r="D38">
        <v>4</v>
      </c>
      <c r="E38">
        <v>4</v>
      </c>
    </row>
    <row r="39" spans="1:5" x14ac:dyDescent="0.35">
      <c r="A39" t="s">
        <v>54</v>
      </c>
      <c r="B39" t="s">
        <v>14</v>
      </c>
      <c r="C39" t="s">
        <v>55</v>
      </c>
      <c r="D39">
        <v>4</v>
      </c>
      <c r="E39">
        <v>4</v>
      </c>
    </row>
    <row r="40" spans="1:5" x14ac:dyDescent="0.35">
      <c r="A40" t="s">
        <v>56</v>
      </c>
      <c r="B40" t="s">
        <v>6</v>
      </c>
      <c r="C40" t="s">
        <v>25</v>
      </c>
      <c r="D40">
        <v>9</v>
      </c>
      <c r="E40">
        <v>9</v>
      </c>
    </row>
    <row r="41" spans="1:5" x14ac:dyDescent="0.35">
      <c r="A41" t="s">
        <v>57</v>
      </c>
      <c r="B41" t="s">
        <v>6</v>
      </c>
      <c r="C41" t="s">
        <v>25</v>
      </c>
      <c r="D41">
        <v>43</v>
      </c>
      <c r="E41">
        <v>43</v>
      </c>
    </row>
    <row r="42" spans="1:5" x14ac:dyDescent="0.35">
      <c r="A42" t="s">
        <v>58</v>
      </c>
      <c r="B42" t="s">
        <v>47</v>
      </c>
      <c r="C42" t="s">
        <v>48</v>
      </c>
      <c r="D42">
        <v>1</v>
      </c>
      <c r="E42">
        <v>1</v>
      </c>
    </row>
    <row r="43" spans="1:5" x14ac:dyDescent="0.35">
      <c r="A43" t="s">
        <v>58</v>
      </c>
      <c r="B43" t="s">
        <v>6</v>
      </c>
      <c r="C43" t="s">
        <v>19</v>
      </c>
      <c r="D43">
        <v>9</v>
      </c>
      <c r="E43">
        <v>9</v>
      </c>
    </row>
    <row r="44" spans="1:5" x14ac:dyDescent="0.35">
      <c r="A44" t="s">
        <v>58</v>
      </c>
      <c r="B44" t="s">
        <v>40</v>
      </c>
      <c r="C44" t="s">
        <v>41</v>
      </c>
      <c r="D44">
        <v>48</v>
      </c>
      <c r="E44">
        <v>48</v>
      </c>
    </row>
    <row r="45" spans="1:5" x14ac:dyDescent="0.35">
      <c r="A45" t="s">
        <v>58</v>
      </c>
      <c r="B45" t="s">
        <v>40</v>
      </c>
      <c r="C45" t="s">
        <v>41</v>
      </c>
      <c r="D45">
        <v>66</v>
      </c>
      <c r="E45">
        <v>66</v>
      </c>
    </row>
    <row r="46" spans="1:5" x14ac:dyDescent="0.35">
      <c r="A46" t="s">
        <v>58</v>
      </c>
      <c r="B46" t="s">
        <v>40</v>
      </c>
      <c r="C46" t="s">
        <v>41</v>
      </c>
      <c r="D46">
        <v>85</v>
      </c>
      <c r="E46">
        <v>85</v>
      </c>
    </row>
    <row r="47" spans="1:5" x14ac:dyDescent="0.35">
      <c r="A47" t="s">
        <v>58</v>
      </c>
      <c r="B47" t="s">
        <v>40</v>
      </c>
      <c r="C47" t="s">
        <v>41</v>
      </c>
      <c r="D47">
        <v>103</v>
      </c>
      <c r="E47">
        <v>103</v>
      </c>
    </row>
    <row r="48" spans="1:5" x14ac:dyDescent="0.35">
      <c r="A48" t="s">
        <v>58</v>
      </c>
      <c r="B48" t="s">
        <v>40</v>
      </c>
      <c r="C48" t="s">
        <v>41</v>
      </c>
      <c r="D48">
        <v>121</v>
      </c>
      <c r="E48">
        <v>121</v>
      </c>
    </row>
    <row r="49" spans="1:5" x14ac:dyDescent="0.35">
      <c r="A49" t="s">
        <v>58</v>
      </c>
      <c r="B49" t="s">
        <v>40</v>
      </c>
      <c r="C49" t="s">
        <v>41</v>
      </c>
      <c r="D49">
        <v>139</v>
      </c>
      <c r="E49">
        <v>139</v>
      </c>
    </row>
    <row r="50" spans="1:5" x14ac:dyDescent="0.35">
      <c r="A50" t="s">
        <v>58</v>
      </c>
      <c r="B50" t="s">
        <v>40</v>
      </c>
      <c r="C50" t="s">
        <v>41</v>
      </c>
      <c r="D50">
        <v>157</v>
      </c>
      <c r="E50">
        <v>157</v>
      </c>
    </row>
    <row r="51" spans="1:5" x14ac:dyDescent="0.35">
      <c r="A51" t="s">
        <v>59</v>
      </c>
      <c r="B51" t="s">
        <v>32</v>
      </c>
      <c r="C51" t="s">
        <v>60</v>
      </c>
      <c r="D51">
        <v>13</v>
      </c>
      <c r="E51">
        <v>13</v>
      </c>
    </row>
    <row r="52" spans="1:5" x14ac:dyDescent="0.35">
      <c r="A52" t="s">
        <v>59</v>
      </c>
      <c r="B52" t="s">
        <v>6</v>
      </c>
      <c r="C52" t="s">
        <v>61</v>
      </c>
      <c r="D52">
        <v>13</v>
      </c>
      <c r="E52">
        <v>13</v>
      </c>
    </row>
    <row r="53" spans="1:5" x14ac:dyDescent="0.35">
      <c r="A53" t="s">
        <v>59</v>
      </c>
      <c r="B53" t="s">
        <v>14</v>
      </c>
      <c r="C53" t="s">
        <v>62</v>
      </c>
      <c r="D53">
        <v>13</v>
      </c>
      <c r="E53">
        <v>13</v>
      </c>
    </row>
    <row r="54" spans="1:5" x14ac:dyDescent="0.35">
      <c r="A54" t="s">
        <v>59</v>
      </c>
      <c r="B54" t="s">
        <v>32</v>
      </c>
      <c r="C54" t="s">
        <v>33</v>
      </c>
      <c r="D54">
        <v>184</v>
      </c>
      <c r="E54">
        <v>184</v>
      </c>
    </row>
    <row r="55" spans="1:5" x14ac:dyDescent="0.35">
      <c r="A55" t="s">
        <v>59</v>
      </c>
      <c r="B55" t="s">
        <v>6</v>
      </c>
      <c r="C55" t="s">
        <v>63</v>
      </c>
      <c r="D55">
        <v>184</v>
      </c>
      <c r="E55">
        <v>184</v>
      </c>
    </row>
    <row r="56" spans="1:5" x14ac:dyDescent="0.35">
      <c r="A56" t="s">
        <v>59</v>
      </c>
      <c r="B56" t="s">
        <v>14</v>
      </c>
      <c r="C56" t="s">
        <v>64</v>
      </c>
      <c r="D56">
        <v>184</v>
      </c>
      <c r="E56">
        <v>184</v>
      </c>
    </row>
    <row r="57" spans="1:5" x14ac:dyDescent="0.35">
      <c r="A57" t="s">
        <v>65</v>
      </c>
      <c r="B57" t="s">
        <v>6</v>
      </c>
      <c r="C57" t="s">
        <v>25</v>
      </c>
      <c r="D57">
        <v>8</v>
      </c>
      <c r="E57">
        <v>8</v>
      </c>
    </row>
    <row r="58" spans="1:5" x14ac:dyDescent="0.35">
      <c r="A58" t="s">
        <v>66</v>
      </c>
      <c r="B58" t="s">
        <v>6</v>
      </c>
      <c r="C58" t="s">
        <v>25</v>
      </c>
      <c r="D58">
        <v>166</v>
      </c>
      <c r="E58">
        <v>166</v>
      </c>
    </row>
    <row r="59" spans="1:5" x14ac:dyDescent="0.35">
      <c r="A59" t="s">
        <v>67</v>
      </c>
      <c r="B59" t="s">
        <v>6</v>
      </c>
      <c r="C59" t="s">
        <v>25</v>
      </c>
      <c r="D59">
        <v>25</v>
      </c>
      <c r="E59">
        <v>25</v>
      </c>
    </row>
    <row r="60" spans="1:5" x14ac:dyDescent="0.35">
      <c r="A60" t="s">
        <v>67</v>
      </c>
      <c r="B60" t="s">
        <v>8</v>
      </c>
      <c r="C60" t="s">
        <v>11</v>
      </c>
      <c r="D60">
        <v>44</v>
      </c>
      <c r="E60">
        <v>44</v>
      </c>
    </row>
    <row r="61" spans="1:5" x14ac:dyDescent="0.35">
      <c r="A61" t="s">
        <v>68</v>
      </c>
      <c r="B61" t="s">
        <v>6</v>
      </c>
      <c r="C61" t="s">
        <v>50</v>
      </c>
      <c r="D61">
        <v>163</v>
      </c>
      <c r="E61">
        <v>163</v>
      </c>
    </row>
    <row r="62" spans="1:5" x14ac:dyDescent="0.35">
      <c r="A62" t="s">
        <v>68</v>
      </c>
      <c r="B62" t="s">
        <v>8</v>
      </c>
      <c r="C62" t="s">
        <v>11</v>
      </c>
      <c r="D62">
        <v>173</v>
      </c>
      <c r="E62">
        <v>173</v>
      </c>
    </row>
    <row r="63" spans="1:5" x14ac:dyDescent="0.35">
      <c r="A63" t="s">
        <v>68</v>
      </c>
      <c r="B63" t="s">
        <v>8</v>
      </c>
      <c r="C63" t="s">
        <v>11</v>
      </c>
      <c r="D63">
        <v>197</v>
      </c>
      <c r="E63">
        <v>197</v>
      </c>
    </row>
    <row r="64" spans="1:5" x14ac:dyDescent="0.35">
      <c r="A64" t="s">
        <v>69</v>
      </c>
      <c r="B64" t="s">
        <v>47</v>
      </c>
      <c r="C64" t="s">
        <v>48</v>
      </c>
      <c r="D64">
        <v>1</v>
      </c>
      <c r="E64">
        <v>1</v>
      </c>
    </row>
    <row r="65" spans="1:5" x14ac:dyDescent="0.35">
      <c r="A65" t="s">
        <v>69</v>
      </c>
      <c r="B65" t="s">
        <v>32</v>
      </c>
      <c r="C65" t="s">
        <v>70</v>
      </c>
      <c r="D65">
        <v>21</v>
      </c>
      <c r="E65">
        <v>21</v>
      </c>
    </row>
    <row r="66" spans="1:5" x14ac:dyDescent="0.35">
      <c r="A66" t="s">
        <v>69</v>
      </c>
      <c r="B66" t="s">
        <v>71</v>
      </c>
      <c r="C66" t="s">
        <v>72</v>
      </c>
      <c r="D66">
        <v>21</v>
      </c>
      <c r="E66">
        <v>21</v>
      </c>
    </row>
    <row r="67" spans="1:5" x14ac:dyDescent="0.35">
      <c r="A67" t="s">
        <v>69</v>
      </c>
      <c r="B67" t="s">
        <v>6</v>
      </c>
      <c r="C67" t="s">
        <v>73</v>
      </c>
      <c r="D67">
        <v>21</v>
      </c>
      <c r="E67">
        <v>21</v>
      </c>
    </row>
    <row r="68" spans="1:5" x14ac:dyDescent="0.35">
      <c r="A68" t="s">
        <v>69</v>
      </c>
      <c r="B68" t="s">
        <v>14</v>
      </c>
      <c r="C68" t="s">
        <v>74</v>
      </c>
      <c r="D68">
        <v>21</v>
      </c>
      <c r="E68">
        <v>21</v>
      </c>
    </row>
    <row r="69" spans="1:5" x14ac:dyDescent="0.35">
      <c r="A69" t="s">
        <v>69</v>
      </c>
      <c r="B69" t="s">
        <v>8</v>
      </c>
      <c r="C69" t="s">
        <v>9</v>
      </c>
      <c r="D69">
        <v>66</v>
      </c>
      <c r="E69">
        <v>68</v>
      </c>
    </row>
    <row r="70" spans="1:5" x14ac:dyDescent="0.35">
      <c r="A70" t="s">
        <v>69</v>
      </c>
      <c r="B70" t="s">
        <v>8</v>
      </c>
      <c r="C70" t="s">
        <v>11</v>
      </c>
      <c r="D70">
        <v>108</v>
      </c>
      <c r="E70">
        <v>108</v>
      </c>
    </row>
    <row r="71" spans="1:5" x14ac:dyDescent="0.35">
      <c r="A71" t="s">
        <v>69</v>
      </c>
      <c r="B71" t="s">
        <v>8</v>
      </c>
      <c r="C71" t="s">
        <v>11</v>
      </c>
      <c r="D71">
        <v>116</v>
      </c>
      <c r="E71">
        <v>116</v>
      </c>
    </row>
    <row r="72" spans="1:5" x14ac:dyDescent="0.35">
      <c r="A72" t="s">
        <v>69</v>
      </c>
      <c r="B72" t="s">
        <v>8</v>
      </c>
      <c r="C72" t="s">
        <v>11</v>
      </c>
      <c r="D72">
        <v>123</v>
      </c>
      <c r="E72">
        <v>123</v>
      </c>
    </row>
    <row r="73" spans="1:5" x14ac:dyDescent="0.35">
      <c r="A73" t="s">
        <v>69</v>
      </c>
      <c r="B73" t="s">
        <v>8</v>
      </c>
      <c r="C73" t="s">
        <v>9</v>
      </c>
      <c r="D73">
        <v>125</v>
      </c>
      <c r="E73">
        <v>127</v>
      </c>
    </row>
    <row r="74" spans="1:5" x14ac:dyDescent="0.35">
      <c r="A74" t="s">
        <v>69</v>
      </c>
      <c r="B74" t="s">
        <v>8</v>
      </c>
      <c r="C74" t="s">
        <v>11</v>
      </c>
      <c r="D74">
        <v>198</v>
      </c>
      <c r="E74">
        <v>198</v>
      </c>
    </row>
    <row r="75" spans="1:5" x14ac:dyDescent="0.35">
      <c r="A75" t="s">
        <v>69</v>
      </c>
      <c r="B75" t="s">
        <v>8</v>
      </c>
      <c r="C75" t="s">
        <v>9</v>
      </c>
      <c r="D75">
        <v>245</v>
      </c>
      <c r="E75">
        <v>247</v>
      </c>
    </row>
    <row r="76" spans="1:5" x14ac:dyDescent="0.35">
      <c r="A76" t="s">
        <v>69</v>
      </c>
      <c r="B76" t="s">
        <v>8</v>
      </c>
      <c r="C76" t="s">
        <v>75</v>
      </c>
      <c r="D76">
        <v>274</v>
      </c>
      <c r="E76">
        <v>278</v>
      </c>
    </row>
    <row r="77" spans="1:5" x14ac:dyDescent="0.35">
      <c r="A77" t="s">
        <v>69</v>
      </c>
      <c r="B77" t="s">
        <v>32</v>
      </c>
      <c r="C77" t="s">
        <v>76</v>
      </c>
      <c r="D77">
        <v>338</v>
      </c>
      <c r="E77">
        <v>338</v>
      </c>
    </row>
    <row r="78" spans="1:5" x14ac:dyDescent="0.35">
      <c r="A78" t="s">
        <v>69</v>
      </c>
      <c r="B78" t="s">
        <v>6</v>
      </c>
      <c r="C78" t="s">
        <v>77</v>
      </c>
      <c r="D78">
        <v>338</v>
      </c>
      <c r="E78">
        <v>338</v>
      </c>
    </row>
    <row r="79" spans="1:5" x14ac:dyDescent="0.35">
      <c r="A79" t="s">
        <v>69</v>
      </c>
      <c r="B79" t="s">
        <v>14</v>
      </c>
      <c r="C79" t="s">
        <v>78</v>
      </c>
      <c r="D79">
        <v>338</v>
      </c>
      <c r="E79">
        <v>338</v>
      </c>
    </row>
    <row r="80" spans="1:5" x14ac:dyDescent="0.35">
      <c r="A80" t="s">
        <v>69</v>
      </c>
      <c r="B80" t="s">
        <v>8</v>
      </c>
      <c r="C80" t="s">
        <v>9</v>
      </c>
      <c r="D80">
        <v>430</v>
      </c>
      <c r="E80">
        <v>432</v>
      </c>
    </row>
    <row r="81" spans="1:5" x14ac:dyDescent="0.35">
      <c r="A81" t="s">
        <v>69</v>
      </c>
      <c r="B81" t="s">
        <v>6</v>
      </c>
      <c r="C81" t="s">
        <v>79</v>
      </c>
      <c r="D81">
        <v>453</v>
      </c>
      <c r="E81">
        <v>453</v>
      </c>
    </row>
    <row r="82" spans="1:5" x14ac:dyDescent="0.35">
      <c r="A82" t="s">
        <v>69</v>
      </c>
      <c r="B82" t="s">
        <v>8</v>
      </c>
      <c r="C82" t="s">
        <v>11</v>
      </c>
      <c r="D82">
        <v>476</v>
      </c>
      <c r="E82">
        <v>476</v>
      </c>
    </row>
    <row r="83" spans="1:5" x14ac:dyDescent="0.35">
      <c r="A83" t="s">
        <v>69</v>
      </c>
      <c r="B83" t="s">
        <v>6</v>
      </c>
      <c r="C83" t="s">
        <v>25</v>
      </c>
      <c r="D83">
        <v>540</v>
      </c>
      <c r="E83">
        <v>540</v>
      </c>
    </row>
    <row r="84" spans="1:5" x14ac:dyDescent="0.35">
      <c r="A84" t="s">
        <v>69</v>
      </c>
      <c r="B84" t="s">
        <v>40</v>
      </c>
      <c r="C84" t="s">
        <v>41</v>
      </c>
      <c r="D84">
        <v>540</v>
      </c>
      <c r="E84">
        <v>540</v>
      </c>
    </row>
    <row r="85" spans="1:5" x14ac:dyDescent="0.35">
      <c r="A85" t="s">
        <v>69</v>
      </c>
      <c r="B85" t="s">
        <v>8</v>
      </c>
      <c r="C85" t="s">
        <v>11</v>
      </c>
      <c r="D85">
        <v>547</v>
      </c>
      <c r="E85">
        <v>547</v>
      </c>
    </row>
    <row r="86" spans="1:5" x14ac:dyDescent="0.35">
      <c r="A86" t="s">
        <v>69</v>
      </c>
      <c r="B86" t="s">
        <v>6</v>
      </c>
      <c r="C86" t="s">
        <v>25</v>
      </c>
      <c r="D86">
        <v>566</v>
      </c>
      <c r="E86">
        <v>566</v>
      </c>
    </row>
    <row r="87" spans="1:5" x14ac:dyDescent="0.35">
      <c r="A87" t="s">
        <v>69</v>
      </c>
      <c r="B87" t="s">
        <v>40</v>
      </c>
      <c r="C87" t="s">
        <v>41</v>
      </c>
      <c r="D87">
        <v>566</v>
      </c>
      <c r="E87">
        <v>566</v>
      </c>
    </row>
    <row r="88" spans="1:5" x14ac:dyDescent="0.35">
      <c r="A88" t="s">
        <v>69</v>
      </c>
      <c r="B88" t="s">
        <v>8</v>
      </c>
      <c r="C88" t="s">
        <v>11</v>
      </c>
      <c r="D88">
        <v>573</v>
      </c>
      <c r="E88">
        <v>573</v>
      </c>
    </row>
    <row r="89" spans="1:5" x14ac:dyDescent="0.35">
      <c r="A89" t="s">
        <v>80</v>
      </c>
      <c r="B89" t="s">
        <v>6</v>
      </c>
      <c r="C89" t="s">
        <v>81</v>
      </c>
      <c r="D89">
        <v>9</v>
      </c>
      <c r="E89">
        <v>9</v>
      </c>
    </row>
    <row r="90" spans="1:5" x14ac:dyDescent="0.35">
      <c r="A90" t="s">
        <v>80</v>
      </c>
      <c r="B90" t="s">
        <v>14</v>
      </c>
      <c r="C90" t="s">
        <v>82</v>
      </c>
      <c r="D90">
        <v>9</v>
      </c>
      <c r="E90">
        <v>9</v>
      </c>
    </row>
    <row r="91" spans="1:5" x14ac:dyDescent="0.35">
      <c r="A91" t="s">
        <v>83</v>
      </c>
      <c r="B91" t="s">
        <v>6</v>
      </c>
      <c r="C91" t="s">
        <v>84</v>
      </c>
      <c r="D91">
        <v>15</v>
      </c>
      <c r="E91">
        <v>15</v>
      </c>
    </row>
    <row r="92" spans="1:5" x14ac:dyDescent="0.35">
      <c r="A92" t="s">
        <v>83</v>
      </c>
      <c r="B92" t="s">
        <v>14</v>
      </c>
      <c r="C92" t="s">
        <v>85</v>
      </c>
      <c r="D92">
        <v>15</v>
      </c>
      <c r="E92">
        <v>15</v>
      </c>
    </row>
    <row r="93" spans="1:5" x14ac:dyDescent="0.35">
      <c r="A93" t="s">
        <v>83</v>
      </c>
      <c r="B93" t="s">
        <v>8</v>
      </c>
      <c r="C93" t="s">
        <v>11</v>
      </c>
      <c r="D93">
        <v>102</v>
      </c>
      <c r="E93">
        <v>102</v>
      </c>
    </row>
    <row r="94" spans="1:5" x14ac:dyDescent="0.35">
      <c r="A94" t="s">
        <v>86</v>
      </c>
      <c r="B94" t="s">
        <v>47</v>
      </c>
      <c r="C94" t="s">
        <v>48</v>
      </c>
      <c r="D94">
        <v>1</v>
      </c>
      <c r="E94">
        <v>1</v>
      </c>
    </row>
    <row r="95" spans="1:5" x14ac:dyDescent="0.35">
      <c r="A95" t="s">
        <v>86</v>
      </c>
      <c r="B95" t="s">
        <v>32</v>
      </c>
      <c r="C95" t="s">
        <v>33</v>
      </c>
      <c r="D95">
        <v>48</v>
      </c>
      <c r="E95">
        <v>48</v>
      </c>
    </row>
    <row r="96" spans="1:5" x14ac:dyDescent="0.35">
      <c r="A96" t="s">
        <v>86</v>
      </c>
      <c r="B96" t="s">
        <v>6</v>
      </c>
      <c r="C96" t="s">
        <v>29</v>
      </c>
      <c r="D96">
        <v>48</v>
      </c>
      <c r="E96">
        <v>48</v>
      </c>
    </row>
    <row r="97" spans="1:5" x14ac:dyDescent="0.35">
      <c r="A97" t="s">
        <v>86</v>
      </c>
      <c r="B97" t="s">
        <v>6</v>
      </c>
      <c r="C97" t="s">
        <v>13</v>
      </c>
      <c r="D97">
        <v>152</v>
      </c>
      <c r="E97">
        <v>152</v>
      </c>
    </row>
    <row r="98" spans="1:5" x14ac:dyDescent="0.35">
      <c r="A98" t="s">
        <v>86</v>
      </c>
      <c r="B98" t="s">
        <v>6</v>
      </c>
      <c r="C98" t="s">
        <v>87</v>
      </c>
      <c r="D98">
        <v>283</v>
      </c>
      <c r="E98">
        <v>283</v>
      </c>
    </row>
    <row r="99" spans="1:5" x14ac:dyDescent="0.35">
      <c r="A99" t="s">
        <v>86</v>
      </c>
      <c r="B99" t="s">
        <v>32</v>
      </c>
      <c r="C99" t="s">
        <v>33</v>
      </c>
      <c r="D99">
        <v>384</v>
      </c>
      <c r="E99">
        <v>384</v>
      </c>
    </row>
    <row r="100" spans="1:5" x14ac:dyDescent="0.35">
      <c r="A100" t="s">
        <v>86</v>
      </c>
      <c r="B100" t="s">
        <v>6</v>
      </c>
      <c r="C100" t="s">
        <v>88</v>
      </c>
      <c r="D100">
        <v>384</v>
      </c>
      <c r="E100">
        <v>384</v>
      </c>
    </row>
    <row r="101" spans="1:5" x14ac:dyDescent="0.35">
      <c r="A101" t="s">
        <v>86</v>
      </c>
      <c r="B101" t="s">
        <v>14</v>
      </c>
      <c r="C101" t="s">
        <v>89</v>
      </c>
      <c r="D101">
        <v>384</v>
      </c>
      <c r="E101">
        <v>384</v>
      </c>
    </row>
    <row r="102" spans="1:5" x14ac:dyDescent="0.35">
      <c r="A102" t="s">
        <v>86</v>
      </c>
      <c r="B102" t="s">
        <v>32</v>
      </c>
      <c r="C102" t="s">
        <v>33</v>
      </c>
      <c r="D102">
        <v>593</v>
      </c>
      <c r="E102">
        <v>593</v>
      </c>
    </row>
    <row r="103" spans="1:5" x14ac:dyDescent="0.35">
      <c r="A103" t="s">
        <v>86</v>
      </c>
      <c r="B103" t="s">
        <v>6</v>
      </c>
      <c r="C103" t="s">
        <v>90</v>
      </c>
      <c r="D103">
        <v>593</v>
      </c>
      <c r="E103">
        <v>593</v>
      </c>
    </row>
    <row r="104" spans="1:5" x14ac:dyDescent="0.35">
      <c r="A104" t="s">
        <v>86</v>
      </c>
      <c r="B104" t="s">
        <v>14</v>
      </c>
      <c r="C104" t="s">
        <v>91</v>
      </c>
      <c r="D104">
        <v>593</v>
      </c>
      <c r="E104">
        <v>593</v>
      </c>
    </row>
    <row r="105" spans="1:5" x14ac:dyDescent="0.35">
      <c r="A105" t="s">
        <v>86</v>
      </c>
      <c r="B105" t="s">
        <v>6</v>
      </c>
      <c r="C105" t="s">
        <v>92</v>
      </c>
      <c r="D105">
        <v>778</v>
      </c>
      <c r="E105">
        <v>778</v>
      </c>
    </row>
    <row r="106" spans="1:5" x14ac:dyDescent="0.35">
      <c r="A106" t="s">
        <v>93</v>
      </c>
      <c r="B106" t="s">
        <v>6</v>
      </c>
      <c r="C106" t="s">
        <v>43</v>
      </c>
      <c r="D106">
        <v>9</v>
      </c>
      <c r="E106">
        <v>9</v>
      </c>
    </row>
    <row r="107" spans="1:5" x14ac:dyDescent="0.35">
      <c r="A107" t="s">
        <v>93</v>
      </c>
      <c r="B107" t="s">
        <v>14</v>
      </c>
      <c r="C107" t="s">
        <v>94</v>
      </c>
      <c r="D107">
        <v>9</v>
      </c>
      <c r="E107">
        <v>9</v>
      </c>
    </row>
    <row r="108" spans="1:5" x14ac:dyDescent="0.35">
      <c r="A108" t="s">
        <v>95</v>
      </c>
      <c r="B108" t="s">
        <v>6</v>
      </c>
      <c r="C108" t="s">
        <v>34</v>
      </c>
      <c r="D108">
        <v>7</v>
      </c>
      <c r="E108">
        <v>7</v>
      </c>
    </row>
    <row r="109" spans="1:5" x14ac:dyDescent="0.35">
      <c r="A109" t="s">
        <v>95</v>
      </c>
      <c r="B109" t="s">
        <v>14</v>
      </c>
      <c r="C109" t="s">
        <v>96</v>
      </c>
      <c r="D109">
        <v>7</v>
      </c>
      <c r="E109">
        <v>7</v>
      </c>
    </row>
    <row r="110" spans="1:5" x14ac:dyDescent="0.35">
      <c r="A110" t="s">
        <v>97</v>
      </c>
      <c r="B110" t="s">
        <v>6</v>
      </c>
      <c r="C110" t="s">
        <v>19</v>
      </c>
      <c r="D110">
        <v>9</v>
      </c>
      <c r="E110">
        <v>9</v>
      </c>
    </row>
    <row r="111" spans="1:5" x14ac:dyDescent="0.35">
      <c r="A111" t="s">
        <v>97</v>
      </c>
      <c r="B111" t="s">
        <v>40</v>
      </c>
      <c r="C111" t="s">
        <v>41</v>
      </c>
      <c r="D111">
        <v>9</v>
      </c>
      <c r="E111">
        <v>9</v>
      </c>
    </row>
    <row r="112" spans="1:5" x14ac:dyDescent="0.35">
      <c r="A112" t="s">
        <v>97</v>
      </c>
      <c r="B112" t="s">
        <v>40</v>
      </c>
      <c r="C112" t="s">
        <v>41</v>
      </c>
      <c r="D112">
        <v>48</v>
      </c>
      <c r="E112">
        <v>48</v>
      </c>
    </row>
    <row r="113" spans="1:5" x14ac:dyDescent="0.35">
      <c r="A113" t="s">
        <v>97</v>
      </c>
      <c r="B113" t="s">
        <v>40</v>
      </c>
      <c r="C113" t="s">
        <v>41</v>
      </c>
      <c r="D113">
        <v>66</v>
      </c>
      <c r="E113">
        <v>66</v>
      </c>
    </row>
    <row r="114" spans="1:5" x14ac:dyDescent="0.35">
      <c r="A114" t="s">
        <v>97</v>
      </c>
      <c r="B114" t="s">
        <v>40</v>
      </c>
      <c r="C114" t="s">
        <v>41</v>
      </c>
      <c r="D114">
        <v>83</v>
      </c>
      <c r="E114">
        <v>83</v>
      </c>
    </row>
    <row r="115" spans="1:5" x14ac:dyDescent="0.35">
      <c r="A115" t="s">
        <v>97</v>
      </c>
      <c r="B115" t="s">
        <v>6</v>
      </c>
      <c r="C115" t="s">
        <v>19</v>
      </c>
      <c r="D115">
        <v>101</v>
      </c>
      <c r="E115">
        <v>101</v>
      </c>
    </row>
    <row r="116" spans="1:5" x14ac:dyDescent="0.35">
      <c r="A116" t="s">
        <v>97</v>
      </c>
      <c r="B116" t="s">
        <v>40</v>
      </c>
      <c r="C116" t="s">
        <v>41</v>
      </c>
      <c r="D116">
        <v>101</v>
      </c>
      <c r="E116">
        <v>101</v>
      </c>
    </row>
    <row r="117" spans="1:5" x14ac:dyDescent="0.35">
      <c r="A117" t="s">
        <v>97</v>
      </c>
      <c r="B117" t="s">
        <v>40</v>
      </c>
      <c r="C117" t="s">
        <v>41</v>
      </c>
      <c r="D117">
        <v>141</v>
      </c>
      <c r="E117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B14" sqref="B14"/>
    </sheetView>
  </sheetViews>
  <sheetFormatPr defaultRowHeight="14.5" x14ac:dyDescent="0.35"/>
  <cols>
    <col min="2" max="2" width="34.08984375" customWidth="1"/>
    <col min="3" max="3" width="10.36328125" customWidth="1"/>
  </cols>
  <sheetData>
    <row r="2" spans="1:4" x14ac:dyDescent="0.35">
      <c r="A2" s="3" t="s">
        <v>98</v>
      </c>
      <c r="B2" s="3" t="s">
        <v>99</v>
      </c>
      <c r="C2" s="3" t="s">
        <v>100</v>
      </c>
      <c r="D2" s="4"/>
    </row>
    <row r="3" spans="1:4" x14ac:dyDescent="0.35">
      <c r="A3" s="2">
        <v>1</v>
      </c>
      <c r="B3" s="2" t="s">
        <v>6</v>
      </c>
      <c r="C3" s="2">
        <f>COUNTIF(Issues!B2:B117,B3)</f>
        <v>49</v>
      </c>
    </row>
    <row r="4" spans="1:4" x14ac:dyDescent="0.35">
      <c r="A4" s="2">
        <v>2</v>
      </c>
      <c r="B4" s="2" t="s">
        <v>40</v>
      </c>
      <c r="C4" s="2">
        <f>COUNTIF(Issues!B2:B118,B4)</f>
        <v>17</v>
      </c>
    </row>
    <row r="5" spans="1:4" x14ac:dyDescent="0.35">
      <c r="A5" s="2">
        <v>3</v>
      </c>
      <c r="B5" s="2" t="s">
        <v>32</v>
      </c>
      <c r="C5" s="2">
        <f>COUNTIF(Issues!B2:B119,B5)</f>
        <v>8</v>
      </c>
    </row>
    <row r="6" spans="1:4" x14ac:dyDescent="0.35">
      <c r="A6" s="2">
        <v>4</v>
      </c>
      <c r="B6" s="2" t="s">
        <v>47</v>
      </c>
      <c r="C6" s="2">
        <f>COUNTIF(Issues!B2:B120,B6)</f>
        <v>5</v>
      </c>
    </row>
    <row r="7" spans="1:4" x14ac:dyDescent="0.35">
      <c r="A7" s="2">
        <v>5</v>
      </c>
      <c r="B7" s="2" t="s">
        <v>14</v>
      </c>
      <c r="C7" s="2">
        <f>COUNTIF(Issues!B2:B121,B7)</f>
        <v>17</v>
      </c>
    </row>
    <row r="8" spans="1:4" x14ac:dyDescent="0.35">
      <c r="A8" s="2">
        <v>6</v>
      </c>
      <c r="B8" s="2" t="s">
        <v>8</v>
      </c>
      <c r="C8" s="2">
        <f>COUNTIF(Issues!B2:B122,B8)</f>
        <v>19</v>
      </c>
    </row>
    <row r="9" spans="1:4" x14ac:dyDescent="0.35">
      <c r="A9" s="2">
        <v>7</v>
      </c>
      <c r="B9" s="2" t="s">
        <v>71</v>
      </c>
      <c r="C9" s="2">
        <f>COUNTIF(Issues!B2:B123,B9)</f>
        <v>1</v>
      </c>
    </row>
    <row r="10" spans="1:4" x14ac:dyDescent="0.35">
      <c r="A10" s="3"/>
      <c r="B10" s="3" t="s">
        <v>101</v>
      </c>
      <c r="C10" s="3">
        <f>SUM(C3:C9)</f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leonvo</cp:lastModifiedBy>
  <dcterms:created xsi:type="dcterms:W3CDTF">2025-12-07T10:05:33Z</dcterms:created>
  <dcterms:modified xsi:type="dcterms:W3CDTF">2025-12-07T19:50:54Z</dcterms:modified>
</cp:coreProperties>
</file>