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AI IDE Analysis\AI-IDEs-code-analysis\design_issues\codescene\"/>
    </mc:Choice>
  </mc:AlternateContent>
  <bookViews>
    <workbookView xWindow="0" yWindow="0" windowWidth="19200" windowHeight="7050" activeTab="1"/>
  </bookViews>
  <sheets>
    <sheet name="Issues" sheetId="1" r:id="rId1"/>
    <sheet name="Stats" sheetId="2" r:id="rId2"/>
  </sheets>
  <calcPr calcId="162913"/>
</workbook>
</file>

<file path=xl/calcChain.xml><?xml version="1.0" encoding="utf-8"?>
<calcChain xmlns="http://schemas.openxmlformats.org/spreadsheetml/2006/main">
  <c r="C7" i="2" l="1"/>
  <c r="C6" i="2"/>
  <c r="C5" i="2"/>
  <c r="C4" i="2"/>
  <c r="C3" i="2"/>
  <c r="C8" i="2" l="1"/>
</calcChain>
</file>

<file path=xl/sharedStrings.xml><?xml version="1.0" encoding="utf-8"?>
<sst xmlns="http://schemas.openxmlformats.org/spreadsheetml/2006/main" count="239" uniqueCount="85">
  <si>
    <t>resource</t>
  </si>
  <si>
    <t>code/value</t>
  </si>
  <si>
    <t>message</t>
  </si>
  <si>
    <t>startLineNumber</t>
  </si>
  <si>
    <t>endLineNumber</t>
  </si>
  <si>
    <t>Overall Code Complexity</t>
  </si>
  <si>
    <t>Overall Code Complexity ()</t>
  </si>
  <si>
    <t>Complex Method</t>
  </si>
  <si>
    <t>Complex Method (cc = 17)</t>
  </si>
  <si>
    <t>Large Method</t>
  </si>
  <si>
    <t>Large Method (LoC = 87 lines)</t>
  </si>
  <si>
    <t>Code Duplication</t>
  </si>
  <si>
    <t>Code Duplication ()</t>
  </si>
  <si>
    <t>Complex Method (cc = 9)</t>
  </si>
  <si>
    <t>Large Method (LoC = 315 lines)</t>
  </si>
  <si>
    <t>Large Method (LoC = 153 lines)</t>
  </si>
  <si>
    <t>Complex Method (cc = 13)</t>
  </si>
  <si>
    <t>Large Method (LoC = 86 lines)</t>
  </si>
  <si>
    <t>Complex Method (cc = 14)</t>
  </si>
  <si>
    <t>Large Method (LoC = 117 lines)</t>
  </si>
  <si>
    <t>Complex Method (cc = 37)</t>
  </si>
  <si>
    <t>Large Method (LoC = 461 lines)</t>
  </si>
  <si>
    <t>Complex Method (cc = 31)</t>
  </si>
  <si>
    <t>Large Method (LoC = 276 lines)</t>
  </si>
  <si>
    <t>Large Method (LoC = 146 lines)</t>
  </si>
  <si>
    <t>Complex Method (cc = 57)</t>
  </si>
  <si>
    <t>Large Method (LoC = 483 lines)</t>
  </si>
  <si>
    <t>Complex Method (cc = 21)</t>
  </si>
  <si>
    <t>Large Method (LoC = 151 lines)</t>
  </si>
  <si>
    <t>Complex Method (cc = 24)</t>
  </si>
  <si>
    <t>Large Method (LoC = 258 lines)</t>
  </si>
  <si>
    <t>Large Method (LoC = 220 lines)</t>
  </si>
  <si>
    <t>Complex Method (cc = 18)</t>
  </si>
  <si>
    <t>Large Method (LoC = 283 lines)</t>
  </si>
  <si>
    <t>Complex Method (cc = 15)</t>
  </si>
  <si>
    <t>Complex Method (cc = 39)</t>
  </si>
  <si>
    <t>Large Method (LoC = 360 lines)</t>
  </si>
  <si>
    <t>Complex Method (cc = 68)</t>
  </si>
  <si>
    <t>Large Method (LoC = 499 lines)</t>
  </si>
  <si>
    <t>Complex Method (cc = 45)</t>
  </si>
  <si>
    <t>Large Method (LoC = 477 lines)</t>
  </si>
  <si>
    <t>Complex Conditional</t>
  </si>
  <si>
    <t>Complex Conditional (2 complex conditional expressions)</t>
  </si>
  <si>
    <t>Large Method (LoC = 95 lines)</t>
  </si>
  <si>
    <t>Large Method (LoC = 174 lines)</t>
  </si>
  <si>
    <t>Large Method (LoC = 160 lines)</t>
  </si>
  <si>
    <t>Complex Method (cc = 10)</t>
  </si>
  <si>
    <t>Complex Method (cc = 11)</t>
  </si>
  <si>
    <t>/E:/AI IDE Analysis/AI-IDEs-code-analysis/P4_JobApplication/backend/controllers/adminController.js</t>
  </si>
  <si>
    <t>/E:/AI IDE Analysis/AI-IDEs-code-analysis/P4_JobApplication/backend/controllers/jobController.js</t>
  </si>
  <si>
    <t>/E:/AI IDE Analysis/AI-IDEs-code-analysis/P4_JobApplication/backend/controllers/userController.js</t>
  </si>
  <si>
    <t>/E:/AI IDE Analysis/AI-IDEs-code-analysis/P4_JobApplication/backend/middleware/errorHandler.js</t>
  </si>
  <si>
    <t>/E:/AI IDE Analysis/AI-IDEs-code-analysis/P4_JobApplication/backend/seeders/seedCategoriesHierarchy.js</t>
  </si>
  <si>
    <t>/E:/AI IDE Analysis/AI-IDEs-code-analysis/P4_JobApplication/backend/seeders/seedJobs.js</t>
  </si>
  <si>
    <t>/E:/AI IDE Analysis/AI-IDEs-code-analysis/P4_JobApplication/backend/utils/emailService.js</t>
  </si>
  <si>
    <t>/E:/AI IDE Analysis/AI-IDEs-code-analysis/P4_JobApplication/frontend/src/components/admin/CategoryForm.js</t>
  </si>
  <si>
    <t>/E:/AI IDE Analysis/AI-IDEs-code-analysis/P4_JobApplication/frontend/src/components/admin/CategoryManagement.js</t>
  </si>
  <si>
    <t>/E:/AI IDE Analysis/AI-IDEs-code-analysis/P4_JobApplication/frontend/src/components/admin/CategoryStats.js</t>
  </si>
  <si>
    <t>/E:/AI IDE Analysis/AI-IDEs-code-analysis/P4_JobApplication/frontend/src/components/admin/UserManagement.js</t>
  </si>
  <si>
    <t>/E:/AI IDE Analysis/AI-IDEs-code-analysis/P4_JobApplication/frontend/src/components/applications/EmployeeApplicationDetail.js</t>
  </si>
  <si>
    <t>/E:/AI IDE Analysis/AI-IDEs-code-analysis/P4_JobApplication/frontend/src/components/applications/EmployeeApplications.js</t>
  </si>
  <si>
    <t>/E:/AI IDE Analysis/AI-IDEs-code-analysis/P4_JobApplication/frontend/src/components/applications/EmployerApplicationReview.js</t>
  </si>
  <si>
    <t>/E:/AI IDE Analysis/AI-IDEs-code-analysis/P4_JobApplication/frontend/src/components/applications/EmployerApplicationsList.js</t>
  </si>
  <si>
    <t>/E:/AI IDE Analysis/AI-IDEs-code-analysis/P4_JobApplication/frontend/src/components/auth/RegisterForm.js</t>
  </si>
  <si>
    <t>/E:/AI IDE Analysis/AI-IDEs-code-analysis/P4_JobApplication/frontend/src/components/dashboard/AdminDashboard.js</t>
  </si>
  <si>
    <t>/E:/AI IDE Analysis/AI-IDEs-code-analysis/P4_JobApplication/frontend/src/components/dashboard/EmployeeDashboard.js</t>
  </si>
  <si>
    <t>/E:/AI IDE Analysis/AI-IDEs-code-analysis/P4_JobApplication/frontend/src/components/jobs/EmployerDashboard.js</t>
  </si>
  <si>
    <t>/E:/AI IDE Analysis/AI-IDEs-code-analysis/P4_JobApplication/frontend/src/components/jobs/JobCreationForm.js</t>
  </si>
  <si>
    <t>/E:/AI IDE Analysis/AI-IDEs-code-analysis/P4_JobApplication/frontend/src/components/jobs/JobDetail.js</t>
  </si>
  <si>
    <t>/E:/AI IDE Analysis/AI-IDEs-code-analysis/P4_JobApplication/frontend/src/components/jobs/JobEditForm.js</t>
  </si>
  <si>
    <t>/E:/AI IDE Analysis/AI-IDEs-code-analysis/P4_JobApplication/frontend/src/components/jobs/JobListing.js</t>
  </si>
  <si>
    <t>/E:/AI IDE Analysis/AI-IDEs-code-analysis/P4_JobApplication/frontend/src/components/Layout/index.js</t>
  </si>
  <si>
    <t>/E:/AI IDE Analysis/AI-IDEs-code-analysis/P4_JobApplication/frontend/src/components/pages/LandingPage.js</t>
  </si>
  <si>
    <t>/E:/AI IDE Analysis/AI-IDEs-code-analysis/P4_JobApplication/frontend/src/components/profile/Profile.js</t>
  </si>
  <si>
    <t>/E:/AI IDE Analysis/AI-IDEs-code-analysis/P4_JobApplication/frontend/src/routes/AppRouter.js</t>
  </si>
  <si>
    <t>/E:/AI IDE Analysis/AI-IDEs-code-analysis/P4_JobApplication/frontend/src/services/adminService.js</t>
  </si>
  <si>
    <t>/E:/AI IDE Analysis/AI-IDEs-code-analysis/P4_JobApplication/frontend/src/services/applicationService.js</t>
  </si>
  <si>
    <t>/E:/AI IDE Analysis/AI-IDEs-code-analysis/P4_JobApplication/frontend/src/services/authService.js</t>
  </si>
  <si>
    <t>/E:/AI IDE Analysis/AI-IDEs-code-analysis/P4_JobApplication/frontend/src/services/jobService.js</t>
  </si>
  <si>
    <t>/E:/AI IDE Analysis/AI-IDEs-code-analysis/P4_JobApplication/frontend/src/services/userService.js</t>
  </si>
  <si>
    <t>/E:/AI IDE Analysis/AI-IDEs-code-analysis/P4_JobApplication/frontend/src/utils/helpers.js</t>
  </si>
  <si>
    <t>#</t>
  </si>
  <si>
    <t>Issues</t>
  </si>
  <si>
    <t>Frequency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</si>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</sst>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6"/>
  <sheetViews>
    <sheetView topLeftCell="B70" workbookViewId="0">
      <selection activeCell="C2" sqref="C2:C76"/>
    </sheetView>
  </sheetViews>
  <sheetFormatPr defaultRowHeight="14.5" x14ac:dyDescent="0.35"/>
  <cols>
    <col min="1" max="1" width="104" customWidth="1"/>
    <col min="2" max="2" width="45.1796875" customWidth="1"/>
    <col min="3" max="3" width="54.81640625" customWidth="1"/>
    <col min="4" max="4" width="22.26953125" customWidth="1"/>
    <col min="5" max="5" width="24.8164062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t="s">
        <v>48</v>
      </c>
      <c r="B2" t="s">
        <v>5</v>
      </c>
      <c r="C2" t="s">
        <v>6</v>
      </c>
      <c r="D2">
        <v>1</v>
      </c>
      <c r="E2">
        <v>1</v>
      </c>
    </row>
    <row r="3" spans="1:5" x14ac:dyDescent="0.35">
      <c r="A3" t="s">
        <v>49</v>
      </c>
      <c r="B3" t="s">
        <v>5</v>
      </c>
      <c r="C3" t="s">
        <v>6</v>
      </c>
      <c r="D3">
        <v>1</v>
      </c>
      <c r="E3">
        <v>1</v>
      </c>
    </row>
    <row r="4" spans="1:5" x14ac:dyDescent="0.35">
      <c r="A4" t="s">
        <v>49</v>
      </c>
      <c r="B4" t="s">
        <v>7</v>
      </c>
      <c r="C4" t="s">
        <v>8</v>
      </c>
      <c r="D4">
        <v>46</v>
      </c>
      <c r="E4">
        <v>46</v>
      </c>
    </row>
    <row r="5" spans="1:5" x14ac:dyDescent="0.35">
      <c r="A5" t="s">
        <v>49</v>
      </c>
      <c r="B5" t="s">
        <v>9</v>
      </c>
      <c r="C5" t="s">
        <v>10</v>
      </c>
      <c r="D5">
        <v>46</v>
      </c>
      <c r="E5">
        <v>46</v>
      </c>
    </row>
    <row r="6" spans="1:5" x14ac:dyDescent="0.35">
      <c r="A6" t="s">
        <v>49</v>
      </c>
      <c r="B6" t="s">
        <v>11</v>
      </c>
      <c r="C6" t="s">
        <v>12</v>
      </c>
      <c r="D6">
        <v>251</v>
      </c>
      <c r="E6">
        <v>251</v>
      </c>
    </row>
    <row r="7" spans="1:5" x14ac:dyDescent="0.35">
      <c r="A7" t="s">
        <v>49</v>
      </c>
      <c r="B7" t="s">
        <v>11</v>
      </c>
      <c r="C7" t="s">
        <v>12</v>
      </c>
      <c r="D7">
        <v>346</v>
      </c>
      <c r="E7">
        <v>346</v>
      </c>
    </row>
    <row r="8" spans="1:5" x14ac:dyDescent="0.35">
      <c r="A8" t="s">
        <v>50</v>
      </c>
      <c r="B8" t="s">
        <v>11</v>
      </c>
      <c r="C8" t="s">
        <v>12</v>
      </c>
      <c r="D8">
        <v>8</v>
      </c>
      <c r="E8">
        <v>8</v>
      </c>
    </row>
    <row r="9" spans="1:5" x14ac:dyDescent="0.35">
      <c r="A9" t="s">
        <v>50</v>
      </c>
      <c r="B9" t="s">
        <v>11</v>
      </c>
      <c r="C9" t="s">
        <v>12</v>
      </c>
      <c r="D9">
        <v>220</v>
      </c>
      <c r="E9">
        <v>220</v>
      </c>
    </row>
    <row r="10" spans="1:5" x14ac:dyDescent="0.35">
      <c r="A10" t="s">
        <v>51</v>
      </c>
      <c r="B10" t="s">
        <v>7</v>
      </c>
      <c r="C10" t="s">
        <v>13</v>
      </c>
      <c r="D10">
        <v>1</v>
      </c>
      <c r="E10">
        <v>1</v>
      </c>
    </row>
    <row r="11" spans="1:5" x14ac:dyDescent="0.35">
      <c r="A11" t="s">
        <v>52</v>
      </c>
      <c r="B11" t="s">
        <v>9</v>
      </c>
      <c r="C11" t="s">
        <v>14</v>
      </c>
      <c r="D11">
        <v>15</v>
      </c>
      <c r="E11">
        <v>15</v>
      </c>
    </row>
    <row r="12" spans="1:5" x14ac:dyDescent="0.35">
      <c r="A12" t="s">
        <v>53</v>
      </c>
      <c r="B12" t="s">
        <v>9</v>
      </c>
      <c r="C12" t="s">
        <v>15</v>
      </c>
      <c r="D12">
        <v>5</v>
      </c>
      <c r="E12">
        <v>5</v>
      </c>
    </row>
    <row r="13" spans="1:5" x14ac:dyDescent="0.35">
      <c r="A13" t="s">
        <v>54</v>
      </c>
      <c r="B13" t="s">
        <v>7</v>
      </c>
      <c r="C13" t="s">
        <v>16</v>
      </c>
      <c r="D13">
        <v>42</v>
      </c>
      <c r="E13">
        <v>42</v>
      </c>
    </row>
    <row r="14" spans="1:5" x14ac:dyDescent="0.35">
      <c r="A14" t="s">
        <v>54</v>
      </c>
      <c r="B14" t="s">
        <v>9</v>
      </c>
      <c r="C14" t="s">
        <v>17</v>
      </c>
      <c r="D14">
        <v>42</v>
      </c>
      <c r="E14">
        <v>42</v>
      </c>
    </row>
    <row r="15" spans="1:5" x14ac:dyDescent="0.35">
      <c r="A15" t="s">
        <v>55</v>
      </c>
      <c r="B15" t="s">
        <v>5</v>
      </c>
      <c r="C15" t="s">
        <v>6</v>
      </c>
      <c r="D15">
        <v>1</v>
      </c>
      <c r="E15">
        <v>1</v>
      </c>
    </row>
    <row r="16" spans="1:5" x14ac:dyDescent="0.35">
      <c r="A16" t="s">
        <v>55</v>
      </c>
      <c r="B16" t="s">
        <v>7</v>
      </c>
      <c r="C16" t="s">
        <v>18</v>
      </c>
      <c r="D16">
        <v>5</v>
      </c>
      <c r="E16">
        <v>5</v>
      </c>
    </row>
    <row r="17" spans="1:5" x14ac:dyDescent="0.35">
      <c r="A17" t="s">
        <v>55</v>
      </c>
      <c r="B17" t="s">
        <v>11</v>
      </c>
      <c r="C17" t="s">
        <v>12</v>
      </c>
      <c r="D17">
        <v>83</v>
      </c>
      <c r="E17">
        <v>83</v>
      </c>
    </row>
    <row r="18" spans="1:5" x14ac:dyDescent="0.35">
      <c r="A18" t="s">
        <v>55</v>
      </c>
      <c r="B18" t="s">
        <v>11</v>
      </c>
      <c r="C18" t="s">
        <v>12</v>
      </c>
      <c r="D18">
        <v>106</v>
      </c>
      <c r="E18">
        <v>106</v>
      </c>
    </row>
    <row r="19" spans="1:5" x14ac:dyDescent="0.35">
      <c r="A19" t="s">
        <v>55</v>
      </c>
      <c r="B19" t="s">
        <v>7</v>
      </c>
      <c r="C19" t="s">
        <v>8</v>
      </c>
      <c r="D19">
        <v>152</v>
      </c>
      <c r="E19">
        <v>152</v>
      </c>
    </row>
    <row r="20" spans="1:5" x14ac:dyDescent="0.35">
      <c r="A20" t="s">
        <v>56</v>
      </c>
      <c r="B20" t="s">
        <v>7</v>
      </c>
      <c r="C20" t="s">
        <v>13</v>
      </c>
      <c r="D20">
        <v>54</v>
      </c>
      <c r="E20">
        <v>54</v>
      </c>
    </row>
    <row r="21" spans="1:5" x14ac:dyDescent="0.35">
      <c r="A21" t="s">
        <v>57</v>
      </c>
      <c r="B21" t="s">
        <v>9</v>
      </c>
      <c r="C21" t="s">
        <v>19</v>
      </c>
      <c r="D21">
        <v>5</v>
      </c>
      <c r="E21">
        <v>5</v>
      </c>
    </row>
    <row r="22" spans="1:5" x14ac:dyDescent="0.35">
      <c r="A22" t="s">
        <v>58</v>
      </c>
      <c r="B22" t="s">
        <v>7</v>
      </c>
      <c r="C22" t="s">
        <v>20</v>
      </c>
      <c r="D22">
        <v>5</v>
      </c>
      <c r="E22">
        <v>5</v>
      </c>
    </row>
    <row r="23" spans="1:5" x14ac:dyDescent="0.35">
      <c r="A23" t="s">
        <v>58</v>
      </c>
      <c r="B23" t="s">
        <v>9</v>
      </c>
      <c r="C23" t="s">
        <v>21</v>
      </c>
      <c r="D23">
        <v>5</v>
      </c>
      <c r="E23">
        <v>5</v>
      </c>
    </row>
    <row r="24" spans="1:5" x14ac:dyDescent="0.35">
      <c r="A24" t="s">
        <v>59</v>
      </c>
      <c r="B24" t="s">
        <v>7</v>
      </c>
      <c r="C24" t="s">
        <v>22</v>
      </c>
      <c r="D24">
        <v>6</v>
      </c>
      <c r="E24">
        <v>6</v>
      </c>
    </row>
    <row r="25" spans="1:5" x14ac:dyDescent="0.35">
      <c r="A25" t="s">
        <v>59</v>
      </c>
      <c r="B25" t="s">
        <v>9</v>
      </c>
      <c r="C25" t="s">
        <v>23</v>
      </c>
      <c r="D25">
        <v>6</v>
      </c>
      <c r="E25">
        <v>6</v>
      </c>
    </row>
    <row r="26" spans="1:5" x14ac:dyDescent="0.35">
      <c r="A26" t="s">
        <v>60</v>
      </c>
      <c r="B26" t="s">
        <v>7</v>
      </c>
      <c r="C26" t="s">
        <v>8</v>
      </c>
      <c r="D26">
        <v>6</v>
      </c>
      <c r="E26">
        <v>6</v>
      </c>
    </row>
    <row r="27" spans="1:5" x14ac:dyDescent="0.35">
      <c r="A27" t="s">
        <v>60</v>
      </c>
      <c r="B27" t="s">
        <v>9</v>
      </c>
      <c r="C27" t="s">
        <v>24</v>
      </c>
      <c r="D27">
        <v>6</v>
      </c>
      <c r="E27">
        <v>6</v>
      </c>
    </row>
    <row r="28" spans="1:5" x14ac:dyDescent="0.35">
      <c r="A28" t="s">
        <v>61</v>
      </c>
      <c r="B28" t="s">
        <v>7</v>
      </c>
      <c r="C28" t="s">
        <v>25</v>
      </c>
      <c r="D28">
        <v>7</v>
      </c>
      <c r="E28">
        <v>7</v>
      </c>
    </row>
    <row r="29" spans="1:5" x14ac:dyDescent="0.35">
      <c r="A29" t="s">
        <v>61</v>
      </c>
      <c r="B29" t="s">
        <v>9</v>
      </c>
      <c r="C29" t="s">
        <v>26</v>
      </c>
      <c r="D29">
        <v>7</v>
      </c>
      <c r="E29">
        <v>7</v>
      </c>
    </row>
    <row r="30" spans="1:5" x14ac:dyDescent="0.35">
      <c r="A30" t="s">
        <v>62</v>
      </c>
      <c r="B30" t="s">
        <v>7</v>
      </c>
      <c r="C30" t="s">
        <v>27</v>
      </c>
      <c r="D30">
        <v>6</v>
      </c>
      <c r="E30">
        <v>6</v>
      </c>
    </row>
    <row r="31" spans="1:5" x14ac:dyDescent="0.35">
      <c r="A31" t="s">
        <v>62</v>
      </c>
      <c r="B31" t="s">
        <v>9</v>
      </c>
      <c r="C31" t="s">
        <v>28</v>
      </c>
      <c r="D31">
        <v>6</v>
      </c>
      <c r="E31">
        <v>6</v>
      </c>
    </row>
    <row r="32" spans="1:5" x14ac:dyDescent="0.35">
      <c r="A32" t="s">
        <v>63</v>
      </c>
      <c r="B32" t="s">
        <v>7</v>
      </c>
      <c r="C32" t="s">
        <v>16</v>
      </c>
      <c r="D32">
        <v>50</v>
      </c>
      <c r="E32">
        <v>50</v>
      </c>
    </row>
    <row r="33" spans="1:5" x14ac:dyDescent="0.35">
      <c r="A33" t="s">
        <v>64</v>
      </c>
      <c r="B33" t="s">
        <v>7</v>
      </c>
      <c r="C33" t="s">
        <v>29</v>
      </c>
      <c r="D33">
        <v>6</v>
      </c>
      <c r="E33">
        <v>6</v>
      </c>
    </row>
    <row r="34" spans="1:5" x14ac:dyDescent="0.35">
      <c r="A34" t="s">
        <v>64</v>
      </c>
      <c r="B34" t="s">
        <v>9</v>
      </c>
      <c r="C34" t="s">
        <v>30</v>
      </c>
      <c r="D34">
        <v>6</v>
      </c>
      <c r="E34">
        <v>6</v>
      </c>
    </row>
    <row r="35" spans="1:5" x14ac:dyDescent="0.35">
      <c r="A35" t="s">
        <v>65</v>
      </c>
      <c r="B35" t="s">
        <v>7</v>
      </c>
      <c r="C35" t="s">
        <v>27</v>
      </c>
      <c r="D35">
        <v>6</v>
      </c>
      <c r="E35">
        <v>6</v>
      </c>
    </row>
    <row r="36" spans="1:5" x14ac:dyDescent="0.35">
      <c r="A36" t="s">
        <v>65</v>
      </c>
      <c r="B36" t="s">
        <v>9</v>
      </c>
      <c r="C36" t="s">
        <v>31</v>
      </c>
      <c r="D36">
        <v>6</v>
      </c>
      <c r="E36">
        <v>6</v>
      </c>
    </row>
    <row r="37" spans="1:5" x14ac:dyDescent="0.35">
      <c r="A37" t="s">
        <v>66</v>
      </c>
      <c r="B37" t="s">
        <v>7</v>
      </c>
      <c r="C37" t="s">
        <v>32</v>
      </c>
      <c r="D37">
        <v>7</v>
      </c>
      <c r="E37">
        <v>7</v>
      </c>
    </row>
    <row r="38" spans="1:5" x14ac:dyDescent="0.35">
      <c r="A38" t="s">
        <v>66</v>
      </c>
      <c r="B38" t="s">
        <v>9</v>
      </c>
      <c r="C38" t="s">
        <v>33</v>
      </c>
      <c r="D38">
        <v>7</v>
      </c>
      <c r="E38">
        <v>7</v>
      </c>
    </row>
    <row r="39" spans="1:5" x14ac:dyDescent="0.35">
      <c r="A39" t="s">
        <v>67</v>
      </c>
      <c r="B39" t="s">
        <v>5</v>
      </c>
      <c r="C39" t="s">
        <v>6</v>
      </c>
      <c r="D39">
        <v>1</v>
      </c>
      <c r="E39">
        <v>1</v>
      </c>
    </row>
    <row r="40" spans="1:5" x14ac:dyDescent="0.35">
      <c r="A40" t="s">
        <v>67</v>
      </c>
      <c r="B40" t="s">
        <v>7</v>
      </c>
      <c r="C40" t="s">
        <v>34</v>
      </c>
      <c r="D40">
        <v>67</v>
      </c>
      <c r="E40">
        <v>67</v>
      </c>
    </row>
    <row r="41" spans="1:5" x14ac:dyDescent="0.35">
      <c r="A41" t="s">
        <v>68</v>
      </c>
      <c r="B41" t="s">
        <v>7</v>
      </c>
      <c r="C41" t="s">
        <v>35</v>
      </c>
      <c r="D41">
        <v>8</v>
      </c>
      <c r="E41">
        <v>8</v>
      </c>
    </row>
    <row r="42" spans="1:5" x14ac:dyDescent="0.35">
      <c r="A42" t="s">
        <v>68</v>
      </c>
      <c r="B42" t="s">
        <v>9</v>
      </c>
      <c r="C42" t="s">
        <v>36</v>
      </c>
      <c r="D42">
        <v>8</v>
      </c>
      <c r="E42">
        <v>8</v>
      </c>
    </row>
    <row r="43" spans="1:5" x14ac:dyDescent="0.35">
      <c r="A43" t="s">
        <v>69</v>
      </c>
      <c r="B43" t="s">
        <v>7</v>
      </c>
      <c r="C43" t="s">
        <v>37</v>
      </c>
      <c r="D43">
        <v>7</v>
      </c>
      <c r="E43">
        <v>7</v>
      </c>
    </row>
    <row r="44" spans="1:5" x14ac:dyDescent="0.35">
      <c r="A44" t="s">
        <v>69</v>
      </c>
      <c r="B44" t="s">
        <v>9</v>
      </c>
      <c r="C44" t="s">
        <v>38</v>
      </c>
      <c r="D44">
        <v>7</v>
      </c>
      <c r="E44">
        <v>7</v>
      </c>
    </row>
    <row r="45" spans="1:5" x14ac:dyDescent="0.35">
      <c r="A45" t="s">
        <v>70</v>
      </c>
      <c r="B45" t="s">
        <v>7</v>
      </c>
      <c r="C45" t="s">
        <v>39</v>
      </c>
      <c r="D45">
        <v>8</v>
      </c>
      <c r="E45">
        <v>8</v>
      </c>
    </row>
    <row r="46" spans="1:5" x14ac:dyDescent="0.35">
      <c r="A46" t="s">
        <v>70</v>
      </c>
      <c r="B46" t="s">
        <v>9</v>
      </c>
      <c r="C46" t="s">
        <v>40</v>
      </c>
      <c r="D46">
        <v>8</v>
      </c>
      <c r="E46">
        <v>8</v>
      </c>
    </row>
    <row r="47" spans="1:5" x14ac:dyDescent="0.35">
      <c r="A47" t="s">
        <v>70</v>
      </c>
      <c r="B47" t="s">
        <v>41</v>
      </c>
      <c r="C47" t="s">
        <v>42</v>
      </c>
      <c r="D47">
        <v>77</v>
      </c>
      <c r="E47">
        <v>77</v>
      </c>
    </row>
    <row r="48" spans="1:5" x14ac:dyDescent="0.35">
      <c r="A48" t="s">
        <v>71</v>
      </c>
      <c r="B48" t="s">
        <v>7</v>
      </c>
      <c r="C48" t="s">
        <v>8</v>
      </c>
      <c r="D48">
        <v>6</v>
      </c>
      <c r="E48">
        <v>6</v>
      </c>
    </row>
    <row r="49" spans="1:5" x14ac:dyDescent="0.35">
      <c r="A49" t="s">
        <v>71</v>
      </c>
      <c r="B49" t="s">
        <v>9</v>
      </c>
      <c r="C49" t="s">
        <v>43</v>
      </c>
      <c r="D49">
        <v>6</v>
      </c>
      <c r="E49">
        <v>6</v>
      </c>
    </row>
    <row r="50" spans="1:5" x14ac:dyDescent="0.35">
      <c r="A50" t="s">
        <v>72</v>
      </c>
      <c r="B50" t="s">
        <v>9</v>
      </c>
      <c r="C50" t="s">
        <v>44</v>
      </c>
      <c r="D50">
        <v>4</v>
      </c>
      <c r="E50">
        <v>4</v>
      </c>
    </row>
    <row r="51" spans="1:5" x14ac:dyDescent="0.35">
      <c r="A51" t="s">
        <v>73</v>
      </c>
      <c r="B51" t="s">
        <v>11</v>
      </c>
      <c r="C51" t="s">
        <v>12</v>
      </c>
      <c r="D51">
        <v>17</v>
      </c>
      <c r="E51">
        <v>17</v>
      </c>
    </row>
    <row r="52" spans="1:5" x14ac:dyDescent="0.35">
      <c r="A52" t="s">
        <v>73</v>
      </c>
      <c r="B52" t="s">
        <v>11</v>
      </c>
      <c r="C52" t="s">
        <v>12</v>
      </c>
      <c r="D52">
        <v>39</v>
      </c>
      <c r="E52">
        <v>39</v>
      </c>
    </row>
    <row r="53" spans="1:5" x14ac:dyDescent="0.35">
      <c r="A53" t="s">
        <v>74</v>
      </c>
      <c r="B53" t="s">
        <v>9</v>
      </c>
      <c r="C53" t="s">
        <v>45</v>
      </c>
      <c r="D53">
        <v>85</v>
      </c>
      <c r="E53">
        <v>85</v>
      </c>
    </row>
    <row r="54" spans="1:5" x14ac:dyDescent="0.35">
      <c r="A54" t="s">
        <v>75</v>
      </c>
      <c r="B54" t="s">
        <v>7</v>
      </c>
      <c r="C54" t="s">
        <v>34</v>
      </c>
      <c r="D54">
        <v>5</v>
      </c>
      <c r="E54">
        <v>5</v>
      </c>
    </row>
    <row r="55" spans="1:5" x14ac:dyDescent="0.35">
      <c r="A55" t="s">
        <v>75</v>
      </c>
      <c r="B55" t="s">
        <v>7</v>
      </c>
      <c r="C55" t="s">
        <v>13</v>
      </c>
      <c r="D55">
        <v>51</v>
      </c>
      <c r="E55">
        <v>51</v>
      </c>
    </row>
    <row r="56" spans="1:5" x14ac:dyDescent="0.35">
      <c r="A56" t="s">
        <v>76</v>
      </c>
      <c r="B56" t="s">
        <v>5</v>
      </c>
      <c r="C56" t="s">
        <v>6</v>
      </c>
      <c r="D56">
        <v>1</v>
      </c>
      <c r="E56">
        <v>1</v>
      </c>
    </row>
    <row r="57" spans="1:5" x14ac:dyDescent="0.35">
      <c r="A57" t="s">
        <v>76</v>
      </c>
      <c r="B57" t="s">
        <v>7</v>
      </c>
      <c r="C57" t="s">
        <v>46</v>
      </c>
      <c r="D57">
        <v>5</v>
      </c>
      <c r="E57">
        <v>5</v>
      </c>
    </row>
    <row r="58" spans="1:5" x14ac:dyDescent="0.35">
      <c r="A58" t="s">
        <v>76</v>
      </c>
      <c r="B58" t="s">
        <v>7</v>
      </c>
      <c r="C58" t="s">
        <v>46</v>
      </c>
      <c r="D58">
        <v>24</v>
      </c>
      <c r="E58">
        <v>24</v>
      </c>
    </row>
    <row r="59" spans="1:5" x14ac:dyDescent="0.35">
      <c r="A59" t="s">
        <v>76</v>
      </c>
      <c r="B59" t="s">
        <v>11</v>
      </c>
      <c r="C59" t="s">
        <v>12</v>
      </c>
      <c r="D59">
        <v>24</v>
      </c>
      <c r="E59">
        <v>24</v>
      </c>
    </row>
    <row r="60" spans="1:5" x14ac:dyDescent="0.35">
      <c r="A60" t="s">
        <v>76</v>
      </c>
      <c r="B60" t="s">
        <v>11</v>
      </c>
      <c r="C60" t="s">
        <v>12</v>
      </c>
      <c r="D60">
        <v>42</v>
      </c>
      <c r="E60">
        <v>42</v>
      </c>
    </row>
    <row r="61" spans="1:5" x14ac:dyDescent="0.35">
      <c r="A61" t="s">
        <v>76</v>
      </c>
      <c r="B61" t="s">
        <v>11</v>
      </c>
      <c r="C61" t="s">
        <v>12</v>
      </c>
      <c r="D61">
        <v>58</v>
      </c>
      <c r="E61">
        <v>58</v>
      </c>
    </row>
    <row r="62" spans="1:5" x14ac:dyDescent="0.35">
      <c r="A62" t="s">
        <v>76</v>
      </c>
      <c r="B62" t="s">
        <v>11</v>
      </c>
      <c r="C62" t="s">
        <v>12</v>
      </c>
      <c r="D62">
        <v>74</v>
      </c>
      <c r="E62">
        <v>74</v>
      </c>
    </row>
    <row r="63" spans="1:5" x14ac:dyDescent="0.35">
      <c r="A63" t="s">
        <v>76</v>
      </c>
      <c r="B63" t="s">
        <v>11</v>
      </c>
      <c r="C63" t="s">
        <v>12</v>
      </c>
      <c r="D63">
        <v>85</v>
      </c>
      <c r="E63">
        <v>85</v>
      </c>
    </row>
    <row r="64" spans="1:5" x14ac:dyDescent="0.35">
      <c r="A64" t="s">
        <v>76</v>
      </c>
      <c r="B64" t="s">
        <v>11</v>
      </c>
      <c r="C64" t="s">
        <v>12</v>
      </c>
      <c r="D64">
        <v>99</v>
      </c>
      <c r="E64">
        <v>99</v>
      </c>
    </row>
    <row r="65" spans="1:5" x14ac:dyDescent="0.35">
      <c r="A65" t="s">
        <v>76</v>
      </c>
      <c r="B65" t="s">
        <v>7</v>
      </c>
      <c r="C65" t="s">
        <v>47</v>
      </c>
      <c r="D65">
        <v>121</v>
      </c>
      <c r="E65">
        <v>121</v>
      </c>
    </row>
    <row r="66" spans="1:5" x14ac:dyDescent="0.35">
      <c r="A66" t="s">
        <v>76</v>
      </c>
      <c r="B66" t="s">
        <v>11</v>
      </c>
      <c r="C66" t="s">
        <v>12</v>
      </c>
      <c r="D66">
        <v>121</v>
      </c>
      <c r="E66">
        <v>121</v>
      </c>
    </row>
    <row r="67" spans="1:5" x14ac:dyDescent="0.35">
      <c r="A67" t="s">
        <v>76</v>
      </c>
      <c r="B67" t="s">
        <v>11</v>
      </c>
      <c r="C67" t="s">
        <v>12</v>
      </c>
      <c r="D67">
        <v>140</v>
      </c>
      <c r="E67">
        <v>140</v>
      </c>
    </row>
    <row r="68" spans="1:5" x14ac:dyDescent="0.35">
      <c r="A68" t="s">
        <v>77</v>
      </c>
      <c r="B68" t="s">
        <v>7</v>
      </c>
      <c r="C68" t="s">
        <v>46</v>
      </c>
      <c r="D68">
        <v>6</v>
      </c>
      <c r="E68">
        <v>6</v>
      </c>
    </row>
    <row r="69" spans="1:5" x14ac:dyDescent="0.35">
      <c r="A69" t="s">
        <v>77</v>
      </c>
      <c r="B69" t="s">
        <v>7</v>
      </c>
      <c r="C69" t="s">
        <v>46</v>
      </c>
      <c r="D69">
        <v>21</v>
      </c>
      <c r="E69">
        <v>21</v>
      </c>
    </row>
    <row r="70" spans="1:5" x14ac:dyDescent="0.35">
      <c r="A70" t="s">
        <v>78</v>
      </c>
      <c r="B70" t="s">
        <v>5</v>
      </c>
      <c r="C70" t="s">
        <v>6</v>
      </c>
      <c r="D70">
        <v>1</v>
      </c>
      <c r="E70">
        <v>1</v>
      </c>
    </row>
    <row r="71" spans="1:5" x14ac:dyDescent="0.35">
      <c r="A71" t="s">
        <v>78</v>
      </c>
      <c r="B71" t="s">
        <v>41</v>
      </c>
      <c r="C71" t="s">
        <v>42</v>
      </c>
      <c r="D71">
        <v>11</v>
      </c>
      <c r="E71">
        <v>11</v>
      </c>
    </row>
    <row r="72" spans="1:5" x14ac:dyDescent="0.35">
      <c r="A72" t="s">
        <v>78</v>
      </c>
      <c r="B72" t="s">
        <v>7</v>
      </c>
      <c r="C72" t="s">
        <v>47</v>
      </c>
      <c r="D72">
        <v>34</v>
      </c>
      <c r="E72">
        <v>34</v>
      </c>
    </row>
    <row r="73" spans="1:5" x14ac:dyDescent="0.35">
      <c r="A73" t="s">
        <v>79</v>
      </c>
      <c r="B73" t="s">
        <v>7</v>
      </c>
      <c r="C73" t="s">
        <v>46</v>
      </c>
      <c r="D73">
        <v>5</v>
      </c>
      <c r="E73">
        <v>5</v>
      </c>
    </row>
    <row r="74" spans="1:5" x14ac:dyDescent="0.35">
      <c r="A74" t="s">
        <v>79</v>
      </c>
      <c r="B74" t="s">
        <v>7</v>
      </c>
      <c r="C74" t="s">
        <v>46</v>
      </c>
      <c r="D74">
        <v>20</v>
      </c>
      <c r="E74">
        <v>20</v>
      </c>
    </row>
    <row r="75" spans="1:5" x14ac:dyDescent="0.35">
      <c r="A75" t="s">
        <v>80</v>
      </c>
      <c r="B75" t="s">
        <v>11</v>
      </c>
      <c r="C75" t="s">
        <v>12</v>
      </c>
      <c r="D75">
        <v>4</v>
      </c>
      <c r="E75">
        <v>4</v>
      </c>
    </row>
    <row r="76" spans="1:5" x14ac:dyDescent="0.35">
      <c r="A76" t="s">
        <v>80</v>
      </c>
      <c r="B76" t="s">
        <v>11</v>
      </c>
      <c r="C76" t="s">
        <v>12</v>
      </c>
      <c r="D76">
        <v>14</v>
      </c>
      <c r="E76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8"/>
  <sheetViews>
    <sheetView tabSelected="1" workbookViewId="0">
      <selection activeCell="D8" sqref="A8:D8"/>
    </sheetView>
  </sheetViews>
  <sheetFormatPr defaultRowHeight="14.5" x14ac:dyDescent="0.35"/>
  <cols>
    <col min="2" max="2" width="21.36328125" customWidth="1"/>
    <col min="3" max="3" width="10.1796875" customWidth="1"/>
  </cols>
  <sheetData>
    <row r="2" spans="1:4" x14ac:dyDescent="0.35">
      <c r="A2" s="2" t="s">
        <v>81</v>
      </c>
      <c r="B2" s="2" t="s">
        <v>82</v>
      </c>
      <c r="C2" s="2" t="s">
        <v>83</v>
      </c>
    </row>
    <row r="3" spans="1:4" x14ac:dyDescent="0.35">
      <c r="A3">
        <v>1</v>
      </c>
      <c r="B3" t="s">
        <v>7</v>
      </c>
      <c r="C3">
        <f>COUNTIF(Issues!B2:B103,B3)</f>
        <v>30</v>
      </c>
    </row>
    <row r="4" spans="1:4" x14ac:dyDescent="0.35">
      <c r="A4">
        <v>2</v>
      </c>
      <c r="B4" t="s">
        <v>9</v>
      </c>
      <c r="C4">
        <f>COUNTIF(Issues!B2:B104,B4)</f>
        <v>19</v>
      </c>
    </row>
    <row r="5" spans="1:4" x14ac:dyDescent="0.35">
      <c r="A5">
        <v>3</v>
      </c>
      <c r="B5" t="s">
        <v>11</v>
      </c>
      <c r="C5">
        <f>COUNTIF(Issues!B2:B105,B5)</f>
        <v>18</v>
      </c>
    </row>
    <row r="6" spans="1:4" x14ac:dyDescent="0.35">
      <c r="A6">
        <v>4</v>
      </c>
      <c r="B6" t="s">
        <v>5</v>
      </c>
      <c r="C6">
        <f>COUNTIF(Issues!B2:B106,B6)</f>
        <v>6</v>
      </c>
    </row>
    <row r="7" spans="1:4" x14ac:dyDescent="0.35">
      <c r="A7">
        <v>5</v>
      </c>
      <c r="B7" t="s">
        <v>41</v>
      </c>
      <c r="C7">
        <f>COUNTIF(Issues!B2:B107,B7)</f>
        <v>2</v>
      </c>
    </row>
    <row r="8" spans="1:4" x14ac:dyDescent="0.35">
      <c r="A8" s="2"/>
      <c r="B8" s="2" t="s">
        <v>84</v>
      </c>
      <c r="C8" s="2">
        <f>SUM(C3:C7)</f>
        <v>75</v>
      </c>
      <c r="D8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Issues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leonvo</cp:lastModifiedBy>
  <dcterms:created xsi:type="dcterms:W3CDTF">2025-12-07T10:05:32Z</dcterms:created>
  <dcterms:modified xsi:type="dcterms:W3CDTF">2025-12-07T19:52:58Z</dcterms:modified>
</cp:coreProperties>
</file>